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NGLA JUNIOR\Documents\e-Smart Solution\"/>
    </mc:Choice>
  </mc:AlternateContent>
  <xr:revisionPtr revIDLastSave="0" documentId="8_{8C2B87B7-47DA-4288-9139-782EAFDBAB53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gestion de caisse" sheetId="1" r:id="rId1"/>
    <sheet name="BDArticles" sheetId="2" r:id="rId2"/>
    <sheet name="Ventes" sheetId="3" r:id="rId3"/>
  </sheets>
  <definedNames>
    <definedName name="NomArticle">OFFSET(BDArticles!$B$2,1,,COUNTA(BDArticles!$B$2:$B$9999)-1,1)</definedName>
    <definedName name="NumArticle">OFFSET(BDArticles!$A$2,1,,COUNTA(BDArticles!$A$2:$A$9999)-1,1)</definedName>
    <definedName name="Numreçu">OFFSET(Ventes!$A$2,1,,COUNTA(Ventes!$A$2:$A$9999)-1,1)</definedName>
    <definedName name="pieddereçu2">'gestion de caisse'!$E$24:$F$28</definedName>
    <definedName name="_xlnm.Print_Area" localSheetId="0">'gestion de caisse'!$C$1:$F$26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5" i="1" l="1"/>
  <c r="F14" i="1"/>
  <c r="D11" i="1" l="1"/>
  <c r="AB2" i="1"/>
  <c r="A13" i="1"/>
  <c r="A7" i="1"/>
  <c r="I17" i="1" l="1"/>
  <c r="I21" i="1" l="1"/>
  <c r="AB3" i="1" s="1"/>
  <c r="AB1" i="1"/>
  <c r="I27" i="1" l="1"/>
  <c r="AB5" i="1" s="1"/>
</calcChain>
</file>

<file path=xl/sharedStrings.xml><?xml version="1.0" encoding="utf-8"?>
<sst xmlns="http://schemas.openxmlformats.org/spreadsheetml/2006/main" count="97" uniqueCount="37">
  <si>
    <t>Total:</t>
  </si>
  <si>
    <t>Remise:</t>
  </si>
  <si>
    <t>Net à payer:</t>
  </si>
  <si>
    <t>Versement:</t>
  </si>
  <si>
    <t>Rendu:</t>
  </si>
  <si>
    <t>Ligne article</t>
  </si>
  <si>
    <t>Laarbi Allike Hydra-Alger</t>
  </si>
  <si>
    <t>Ligne Ticket</t>
  </si>
  <si>
    <t>Ticket:</t>
  </si>
  <si>
    <t>Caissier:</t>
  </si>
  <si>
    <t>Admin</t>
  </si>
  <si>
    <t>Date:</t>
  </si>
  <si>
    <t>Article:</t>
  </si>
  <si>
    <t>savon liquide</t>
  </si>
  <si>
    <t>N°reçu suivant</t>
  </si>
  <si>
    <t>LIBELLE</t>
  </si>
  <si>
    <t>QTE</t>
  </si>
  <si>
    <t>P.U</t>
  </si>
  <si>
    <t>TOTAL</t>
  </si>
  <si>
    <t>prix:</t>
  </si>
  <si>
    <t>bierre</t>
  </si>
  <si>
    <t>qte:</t>
  </si>
  <si>
    <t>net a payer:</t>
  </si>
  <si>
    <t>type de paiement:</t>
  </si>
  <si>
    <t>espèce</t>
  </si>
  <si>
    <t>versement:</t>
  </si>
  <si>
    <t>ARTICLES</t>
  </si>
  <si>
    <t>Num Article</t>
  </si>
  <si>
    <t>Nom Article</t>
  </si>
  <si>
    <t>Prix</t>
  </si>
  <si>
    <t>shampoing</t>
  </si>
  <si>
    <t>savon</t>
  </si>
  <si>
    <t>dentifrice</t>
  </si>
  <si>
    <t>jus</t>
  </si>
  <si>
    <t>gel</t>
  </si>
  <si>
    <t>demaquillant</t>
  </si>
  <si>
    <t>Historiques des ventes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</si>
</sst>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\ &quot;€&quot;"/>
    <numFmt numFmtId="165" formatCode="#,##0.00\ _€"/>
  </numFmts>
  <fonts count="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3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4" tint="-0.249977111117893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/>
      <diagonal/>
    </border>
    <border>
      <left/>
      <right/>
      <top/>
      <bottom style="dotted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1" xfId="0" applyBorder="1"/>
    <xf numFmtId="0" fontId="0" fillId="2" borderId="0" xfId="0" applyFill="1"/>
    <xf numFmtId="0" fontId="0" fillId="3" borderId="0" xfId="0" applyFill="1"/>
    <xf numFmtId="0" fontId="0" fillId="5" borderId="0" xfId="0" applyFill="1"/>
    <xf numFmtId="0" fontId="0" fillId="5" borderId="0" xfId="0" applyFill="1" applyAlignment="1">
      <alignment horizontal="right"/>
    </xf>
    <xf numFmtId="0" fontId="0" fillId="5" borderId="2" xfId="0" applyFill="1" applyBorder="1"/>
    <xf numFmtId="0" fontId="0" fillId="7" borderId="0" xfId="0" applyFill="1"/>
    <xf numFmtId="0" fontId="5" fillId="6" borderId="0" xfId="0" applyFont="1" applyFill="1"/>
    <xf numFmtId="165" fontId="0" fillId="5" borderId="0" xfId="0" applyNumberFormat="1" applyFill="1"/>
    <xf numFmtId="0" fontId="4" fillId="5" borderId="0" xfId="0" applyFont="1" applyFill="1"/>
    <xf numFmtId="2" fontId="4" fillId="5" borderId="0" xfId="0" applyNumberFormat="1" applyFont="1" applyFill="1"/>
    <xf numFmtId="0" fontId="1" fillId="2" borderId="0" xfId="0" applyFont="1" applyFill="1" applyAlignment="1">
      <alignment horizontal="right"/>
    </xf>
    <xf numFmtId="22" fontId="0" fillId="0" borderId="0" xfId="0" applyNumberFormat="1"/>
    <xf numFmtId="2" fontId="5" fillId="5" borderId="0" xfId="0" applyNumberFormat="1" applyFont="1" applyFill="1"/>
    <xf numFmtId="164" fontId="2" fillId="4" borderId="0" xfId="0" applyNumberFormat="1" applyFont="1" applyFill="1" applyAlignment="1">
      <alignment horizontal="center"/>
    </xf>
    <xf numFmtId="12" fontId="0" fillId="5" borderId="4" xfId="0" applyNumberFormat="1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3" fillId="6" borderId="0" xfId="0" applyFont="1" applyFill="1" applyAlignment="1">
      <alignment horizontal="center"/>
    </xf>
    <xf numFmtId="0" fontId="0" fillId="5" borderId="0" xfId="0" applyFill="1" applyAlignment="1">
      <alignment horizontal="left" vertical="center"/>
    </xf>
    <xf numFmtId="22" fontId="0" fillId="5" borderId="0" xfId="0" applyNumberFormat="1" applyFill="1" applyAlignment="1">
      <alignment horizontal="left" vertical="center"/>
    </xf>
    <xf numFmtId="0" fontId="0" fillId="5" borderId="3" xfId="0" applyFill="1" applyBorder="1" applyAlignment="1">
      <alignment horizontal="left" vertic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4">
    <dxf>
      <font>
        <b/>
        <i val="0"/>
        <color theme="0"/>
      </font>
      <fill>
        <gradientFill degree="90">
          <stop position="0">
            <color theme="3" tint="-0.25098422193060094"/>
          </stop>
          <stop position="0.5">
            <color theme="4" tint="-0.25098422193060094"/>
          </stop>
          <stop position="1">
            <color theme="3" tint="-0.25098422193060094"/>
          </stop>
        </gradientFill>
      </fill>
    </dxf>
    <dxf>
      <border>
        <top style="dotted">
          <color auto="1"/>
        </top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border>
        <bottom style="dotted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334584</xdr:colOff>
      <xdr:row>0</xdr:row>
      <xdr:rowOff>0</xdr:rowOff>
    </xdr:from>
    <xdr:ext cx="5141087" cy="93762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430584" y="0"/>
          <a:ext cx="5141087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fr-FR" sz="54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Gestion</a:t>
          </a:r>
          <a:r>
            <a:rPr lang="fr-FR" sz="54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 de caisse</a:t>
          </a:r>
          <a:endParaRPr lang="fr-FR" sz="54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oneCellAnchor>
  <xdr:twoCellAnchor>
    <xdr:from>
      <xdr:col>14</xdr:col>
      <xdr:colOff>690562</xdr:colOff>
      <xdr:row>23</xdr:row>
      <xdr:rowOff>100012</xdr:rowOff>
    </xdr:from>
    <xdr:to>
      <xdr:col>15</xdr:col>
      <xdr:colOff>576562</xdr:colOff>
      <xdr:row>26</xdr:row>
      <xdr:rowOff>176512</xdr:rowOff>
    </xdr:to>
    <xdr:sp macro="[0]!BoutonNum" textlink="">
      <xdr:nvSpPr>
        <xdr:cNvPr id="5" name="bouton9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2339637" y="4481512"/>
          <a:ext cx="648000" cy="648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/>
            <a:t>9</a:t>
          </a:r>
        </a:p>
      </xdr:txBody>
    </xdr:sp>
    <xdr:clientData/>
  </xdr:twoCellAnchor>
  <xdr:twoCellAnchor>
    <xdr:from>
      <xdr:col>12</xdr:col>
      <xdr:colOff>638175</xdr:colOff>
      <xdr:row>19</xdr:row>
      <xdr:rowOff>33337</xdr:rowOff>
    </xdr:from>
    <xdr:to>
      <xdr:col>13</xdr:col>
      <xdr:colOff>524175</xdr:colOff>
      <xdr:row>22</xdr:row>
      <xdr:rowOff>109837</xdr:rowOff>
    </xdr:to>
    <xdr:sp macro="[0]!BoutonNum" textlink="">
      <xdr:nvSpPr>
        <xdr:cNvPr id="6" name="bouton4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0763250" y="3652837"/>
          <a:ext cx="648000" cy="648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/>
            <a:t>4</a:t>
          </a:r>
        </a:p>
      </xdr:txBody>
    </xdr:sp>
    <xdr:clientData/>
  </xdr:twoCellAnchor>
  <xdr:twoCellAnchor>
    <xdr:from>
      <xdr:col>13</xdr:col>
      <xdr:colOff>681037</xdr:colOff>
      <xdr:row>19</xdr:row>
      <xdr:rowOff>33337</xdr:rowOff>
    </xdr:from>
    <xdr:to>
      <xdr:col>14</xdr:col>
      <xdr:colOff>567037</xdr:colOff>
      <xdr:row>22</xdr:row>
      <xdr:rowOff>109837</xdr:rowOff>
    </xdr:to>
    <xdr:sp macro="[0]!BoutonNum" textlink="">
      <xdr:nvSpPr>
        <xdr:cNvPr id="7" name="bouton5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1568112" y="3652837"/>
          <a:ext cx="648000" cy="648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/>
            <a:t>5</a:t>
          </a:r>
        </a:p>
      </xdr:txBody>
    </xdr:sp>
    <xdr:clientData/>
  </xdr:twoCellAnchor>
  <xdr:twoCellAnchor>
    <xdr:from>
      <xdr:col>14</xdr:col>
      <xdr:colOff>690562</xdr:colOff>
      <xdr:row>19</xdr:row>
      <xdr:rowOff>33337</xdr:rowOff>
    </xdr:from>
    <xdr:to>
      <xdr:col>15</xdr:col>
      <xdr:colOff>576562</xdr:colOff>
      <xdr:row>22</xdr:row>
      <xdr:rowOff>109837</xdr:rowOff>
    </xdr:to>
    <xdr:sp macro="[0]!BoutonNum" textlink="">
      <xdr:nvSpPr>
        <xdr:cNvPr id="8" name="bouton6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2339637" y="3652837"/>
          <a:ext cx="648000" cy="648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/>
            <a:t>6</a:t>
          </a:r>
        </a:p>
      </xdr:txBody>
    </xdr:sp>
    <xdr:clientData/>
  </xdr:twoCellAnchor>
  <xdr:twoCellAnchor>
    <xdr:from>
      <xdr:col>12</xdr:col>
      <xdr:colOff>641188</xdr:colOff>
      <xdr:row>15</xdr:row>
      <xdr:rowOff>19050</xdr:rowOff>
    </xdr:from>
    <xdr:to>
      <xdr:col>13</xdr:col>
      <xdr:colOff>540213</xdr:colOff>
      <xdr:row>18</xdr:row>
      <xdr:rowOff>95550</xdr:rowOff>
    </xdr:to>
    <xdr:sp macro="" textlink="">
      <xdr:nvSpPr>
        <xdr:cNvPr id="9" name="bouton1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0766263" y="2876550"/>
          <a:ext cx="661025" cy="648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/>
            <a:t>1</a:t>
          </a:r>
        </a:p>
      </xdr:txBody>
    </xdr:sp>
    <xdr:clientData/>
  </xdr:twoCellAnchor>
  <xdr:twoCellAnchor>
    <xdr:from>
      <xdr:col>13</xdr:col>
      <xdr:colOff>681037</xdr:colOff>
      <xdr:row>15</xdr:row>
      <xdr:rowOff>19050</xdr:rowOff>
    </xdr:from>
    <xdr:to>
      <xdr:col>14</xdr:col>
      <xdr:colOff>567037</xdr:colOff>
      <xdr:row>18</xdr:row>
      <xdr:rowOff>95550</xdr:rowOff>
    </xdr:to>
    <xdr:sp macro="" textlink="">
      <xdr:nvSpPr>
        <xdr:cNvPr id="10" name="bouton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1568112" y="2876550"/>
          <a:ext cx="648000" cy="648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/>
            <a:t>2</a:t>
          </a:r>
        </a:p>
      </xdr:txBody>
    </xdr:sp>
    <xdr:clientData/>
  </xdr:twoCellAnchor>
  <xdr:twoCellAnchor>
    <xdr:from>
      <xdr:col>14</xdr:col>
      <xdr:colOff>690562</xdr:colOff>
      <xdr:row>15</xdr:row>
      <xdr:rowOff>19050</xdr:rowOff>
    </xdr:from>
    <xdr:to>
      <xdr:col>15</xdr:col>
      <xdr:colOff>576562</xdr:colOff>
      <xdr:row>18</xdr:row>
      <xdr:rowOff>95550</xdr:rowOff>
    </xdr:to>
    <xdr:sp macro="[0]!BoutonNum" textlink="">
      <xdr:nvSpPr>
        <xdr:cNvPr id="11" name="bouton3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2339637" y="2876550"/>
          <a:ext cx="648000" cy="648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/>
            <a:t>3</a:t>
          </a:r>
        </a:p>
      </xdr:txBody>
    </xdr:sp>
    <xdr:clientData/>
  </xdr:twoCellAnchor>
  <xdr:twoCellAnchor>
    <xdr:from>
      <xdr:col>12</xdr:col>
      <xdr:colOff>638175</xdr:colOff>
      <xdr:row>23</xdr:row>
      <xdr:rowOff>100012</xdr:rowOff>
    </xdr:from>
    <xdr:to>
      <xdr:col>13</xdr:col>
      <xdr:colOff>524175</xdr:colOff>
      <xdr:row>26</xdr:row>
      <xdr:rowOff>176512</xdr:rowOff>
    </xdr:to>
    <xdr:sp macro="[0]!BoutonNum" textlink="">
      <xdr:nvSpPr>
        <xdr:cNvPr id="12" name="bouton7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10763250" y="4481512"/>
          <a:ext cx="648000" cy="648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/>
            <a:t>7</a:t>
          </a:r>
        </a:p>
      </xdr:txBody>
    </xdr:sp>
    <xdr:clientData/>
  </xdr:twoCellAnchor>
  <xdr:twoCellAnchor>
    <xdr:from>
      <xdr:col>13</xdr:col>
      <xdr:colOff>681037</xdr:colOff>
      <xdr:row>23</xdr:row>
      <xdr:rowOff>100012</xdr:rowOff>
    </xdr:from>
    <xdr:to>
      <xdr:col>14</xdr:col>
      <xdr:colOff>567037</xdr:colOff>
      <xdr:row>26</xdr:row>
      <xdr:rowOff>176512</xdr:rowOff>
    </xdr:to>
    <xdr:sp macro="[0]!BoutonNum" textlink="">
      <xdr:nvSpPr>
        <xdr:cNvPr id="13" name="bouton8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11568112" y="4481512"/>
          <a:ext cx="648000" cy="648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/>
            <a:t>8</a:t>
          </a:r>
        </a:p>
      </xdr:txBody>
    </xdr:sp>
    <xdr:clientData/>
  </xdr:twoCellAnchor>
  <xdr:twoCellAnchor>
    <xdr:from>
      <xdr:col>13</xdr:col>
      <xdr:colOff>681037</xdr:colOff>
      <xdr:row>27</xdr:row>
      <xdr:rowOff>123825</xdr:rowOff>
    </xdr:from>
    <xdr:to>
      <xdr:col>14</xdr:col>
      <xdr:colOff>567037</xdr:colOff>
      <xdr:row>31</xdr:row>
      <xdr:rowOff>9825</xdr:rowOff>
    </xdr:to>
    <xdr:sp macro="[0]!Boutonvirgule" textlink="">
      <xdr:nvSpPr>
        <xdr:cNvPr id="15" name="virgule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1568112" y="5267325"/>
          <a:ext cx="648000" cy="648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/>
            <a:t>,</a:t>
          </a:r>
        </a:p>
      </xdr:txBody>
    </xdr:sp>
    <xdr:clientData/>
  </xdr:twoCellAnchor>
  <xdr:twoCellAnchor>
    <xdr:from>
      <xdr:col>12</xdr:col>
      <xdr:colOff>638175</xdr:colOff>
      <xdr:row>27</xdr:row>
      <xdr:rowOff>123825</xdr:rowOff>
    </xdr:from>
    <xdr:to>
      <xdr:col>13</xdr:col>
      <xdr:colOff>524175</xdr:colOff>
      <xdr:row>31</xdr:row>
      <xdr:rowOff>9825</xdr:rowOff>
    </xdr:to>
    <xdr:sp macro="[0]!BoutonNum" textlink="">
      <xdr:nvSpPr>
        <xdr:cNvPr id="16" name="bouton0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0763250" y="5267325"/>
          <a:ext cx="648000" cy="648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/>
            <a:t>0</a:t>
          </a:r>
        </a:p>
      </xdr:txBody>
    </xdr:sp>
    <xdr:clientData/>
  </xdr:twoCellAnchor>
  <xdr:twoCellAnchor>
    <xdr:from>
      <xdr:col>14</xdr:col>
      <xdr:colOff>690562</xdr:colOff>
      <xdr:row>27</xdr:row>
      <xdr:rowOff>123825</xdr:rowOff>
    </xdr:from>
    <xdr:to>
      <xdr:col>15</xdr:col>
      <xdr:colOff>576562</xdr:colOff>
      <xdr:row>31</xdr:row>
      <xdr:rowOff>9825</xdr:rowOff>
    </xdr:to>
    <xdr:grpSp>
      <xdr:nvGrpSpPr>
        <xdr:cNvPr id="22" name="effacer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13775191" y="5207454"/>
          <a:ext cx="669771" cy="626228"/>
          <a:chOff x="12339637" y="5276850"/>
          <a:chExt cx="648000" cy="648000"/>
        </a:xfrm>
      </xdr:grpSpPr>
      <xdr:sp macro="[0]!Boutoneffacer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12339637" y="5276850"/>
            <a:ext cx="648000" cy="64800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2400"/>
          </a:p>
        </xdr:txBody>
      </xdr:sp>
      <xdr:sp macro="[0]!Boutoneffacer" textlink="">
        <xdr:nvSpPr>
          <xdr:cNvPr id="21" name="Flèche droite 20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/>
        </xdr:nvSpPr>
        <xdr:spPr>
          <a:xfrm rot="10800000">
            <a:off x="12382500" y="5391150"/>
            <a:ext cx="552450" cy="352424"/>
          </a:xfrm>
          <a:prstGeom prst="rightArrow">
            <a:avLst/>
          </a:prstGeom>
          <a:solidFill>
            <a:schemeClr val="bg2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18</xdr:col>
      <xdr:colOff>123825</xdr:colOff>
      <xdr:row>15</xdr:row>
      <xdr:rowOff>38100</xdr:rowOff>
    </xdr:from>
    <xdr:to>
      <xdr:col>19</xdr:col>
      <xdr:colOff>9825</xdr:colOff>
      <xdr:row>18</xdr:row>
      <xdr:rowOff>114600</xdr:rowOff>
    </xdr:to>
    <xdr:sp macro="[0]!typedepaiement" textlink="">
      <xdr:nvSpPr>
        <xdr:cNvPr id="23" name="cartebancaire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14820900" y="2895600"/>
          <a:ext cx="648000" cy="648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/>
            <a:t>CB</a:t>
          </a:r>
        </a:p>
      </xdr:txBody>
    </xdr:sp>
    <xdr:clientData/>
  </xdr:twoCellAnchor>
  <xdr:twoCellAnchor>
    <xdr:from>
      <xdr:col>17</xdr:col>
      <xdr:colOff>133350</xdr:colOff>
      <xdr:row>15</xdr:row>
      <xdr:rowOff>28575</xdr:rowOff>
    </xdr:from>
    <xdr:to>
      <xdr:col>18</xdr:col>
      <xdr:colOff>19350</xdr:colOff>
      <xdr:row>18</xdr:row>
      <xdr:rowOff>105075</xdr:rowOff>
    </xdr:to>
    <xdr:sp macro="[0]!typedepaiement" textlink="">
      <xdr:nvSpPr>
        <xdr:cNvPr id="24" name="cheque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14068425" y="2886075"/>
          <a:ext cx="648000" cy="648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/>
            <a:t>CH</a:t>
          </a:r>
        </a:p>
      </xdr:txBody>
    </xdr:sp>
    <xdr:clientData/>
  </xdr:twoCellAnchor>
  <xdr:twoCellAnchor>
    <xdr:from>
      <xdr:col>16</xdr:col>
      <xdr:colOff>180975</xdr:colOff>
      <xdr:row>15</xdr:row>
      <xdr:rowOff>28575</xdr:rowOff>
    </xdr:from>
    <xdr:to>
      <xdr:col>17</xdr:col>
      <xdr:colOff>66975</xdr:colOff>
      <xdr:row>18</xdr:row>
      <xdr:rowOff>105075</xdr:rowOff>
    </xdr:to>
    <xdr:sp macro="[0]!typedepaiement" textlink="">
      <xdr:nvSpPr>
        <xdr:cNvPr id="25" name="espèce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13354050" y="2886075"/>
          <a:ext cx="648000" cy="648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/>
            <a:t>E</a:t>
          </a:r>
        </a:p>
      </xdr:txBody>
    </xdr:sp>
    <xdr:clientData/>
  </xdr:twoCellAnchor>
  <xdr:twoCellAnchor>
    <xdr:from>
      <xdr:col>16</xdr:col>
      <xdr:colOff>195262</xdr:colOff>
      <xdr:row>27</xdr:row>
      <xdr:rowOff>152400</xdr:rowOff>
    </xdr:from>
    <xdr:to>
      <xdr:col>18</xdr:col>
      <xdr:colOff>723900</xdr:colOff>
      <xdr:row>31</xdr:row>
      <xdr:rowOff>38400</xdr:rowOff>
    </xdr:to>
    <xdr:sp macro="[0]!suivant" textlink="">
      <xdr:nvSpPr>
        <xdr:cNvPr id="29" name="btnsuivant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13368337" y="5295900"/>
          <a:ext cx="2052638" cy="648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/>
            <a:t>Suivant</a:t>
          </a:r>
        </a:p>
      </xdr:txBody>
    </xdr:sp>
    <xdr:clientData/>
  </xdr:twoCellAnchor>
  <xdr:twoCellAnchor>
    <xdr:from>
      <xdr:col>16</xdr:col>
      <xdr:colOff>195262</xdr:colOff>
      <xdr:row>23</xdr:row>
      <xdr:rowOff>104775</xdr:rowOff>
    </xdr:from>
    <xdr:to>
      <xdr:col>18</xdr:col>
      <xdr:colOff>759262</xdr:colOff>
      <xdr:row>26</xdr:row>
      <xdr:rowOff>181275</xdr:rowOff>
    </xdr:to>
    <xdr:sp macro="[0]!imprimer" textlink="">
      <xdr:nvSpPr>
        <xdr:cNvPr id="30" name="btnimprimer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13368337" y="4486275"/>
          <a:ext cx="2088000" cy="648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/>
            <a:t>Imprimer</a:t>
          </a:r>
        </a:p>
      </xdr:txBody>
    </xdr:sp>
    <xdr:clientData/>
  </xdr:twoCellAnchor>
  <xdr:twoCellAnchor>
    <xdr:from>
      <xdr:col>16</xdr:col>
      <xdr:colOff>195262</xdr:colOff>
      <xdr:row>19</xdr:row>
      <xdr:rowOff>57150</xdr:rowOff>
    </xdr:from>
    <xdr:to>
      <xdr:col>18</xdr:col>
      <xdr:colOff>759262</xdr:colOff>
      <xdr:row>22</xdr:row>
      <xdr:rowOff>133650</xdr:rowOff>
    </xdr:to>
    <xdr:sp macro="[0]!paiement" textlink="">
      <xdr:nvSpPr>
        <xdr:cNvPr id="31" name="btnpaiement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3368337" y="3676650"/>
          <a:ext cx="2088000" cy="648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/>
            <a:t>Paiement</a:t>
          </a:r>
        </a:p>
      </xdr:txBody>
    </xdr:sp>
    <xdr:clientData/>
  </xdr:twoCellAnchor>
  <xdr:twoCellAnchor>
    <xdr:from>
      <xdr:col>12</xdr:col>
      <xdr:colOff>650713</xdr:colOff>
      <xdr:row>15</xdr:row>
      <xdr:rowOff>9525</xdr:rowOff>
    </xdr:from>
    <xdr:to>
      <xdr:col>13</xdr:col>
      <xdr:colOff>549738</xdr:colOff>
      <xdr:row>18</xdr:row>
      <xdr:rowOff>86025</xdr:rowOff>
    </xdr:to>
    <xdr:sp macro="[0]!BoutonNum" textlink="">
      <xdr:nvSpPr>
        <xdr:cNvPr id="26" name="bouton1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10775788" y="2867025"/>
          <a:ext cx="661025" cy="648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1</a:t>
          </a:r>
        </a:p>
      </xdr:txBody>
    </xdr:sp>
    <xdr:clientData/>
  </xdr:twoCellAnchor>
  <xdr:twoCellAnchor>
    <xdr:from>
      <xdr:col>13</xdr:col>
      <xdr:colOff>681037</xdr:colOff>
      <xdr:row>15</xdr:row>
      <xdr:rowOff>9525</xdr:rowOff>
    </xdr:from>
    <xdr:to>
      <xdr:col>14</xdr:col>
      <xdr:colOff>567037</xdr:colOff>
      <xdr:row>18</xdr:row>
      <xdr:rowOff>86025</xdr:rowOff>
    </xdr:to>
    <xdr:sp macro="[0]!BoutonNum" textlink="">
      <xdr:nvSpPr>
        <xdr:cNvPr id="27" name="bouton2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11568112" y="2867025"/>
          <a:ext cx="648000" cy="648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/>
            <a:t>2</a:t>
          </a:r>
        </a:p>
      </xdr:txBody>
    </xdr:sp>
    <xdr:clientData/>
  </xdr:twoCellAnchor>
  <xdr:oneCellAnchor>
    <xdr:from>
      <xdr:col>2</xdr:col>
      <xdr:colOff>723900</xdr:colOff>
      <xdr:row>0</xdr:row>
      <xdr:rowOff>114300</xdr:rowOff>
    </xdr:from>
    <xdr:ext cx="1990725" cy="843693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247900" y="114300"/>
          <a:ext cx="1990725" cy="84369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fr-FR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Smart</a:t>
          </a:r>
          <a:r>
            <a:rPr lang="fr-FR" sz="2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eSolutions</a:t>
          </a:r>
          <a:endParaRPr lang="fr-FR" sz="2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2</xdr:col>
      <xdr:colOff>0</xdr:colOff>
      <xdr:row>21</xdr:row>
      <xdr:rowOff>0</xdr:rowOff>
    </xdr:from>
    <xdr:to>
      <xdr:col>5</xdr:col>
      <xdr:colOff>337125</xdr:colOff>
      <xdr:row>25</xdr:row>
      <xdr:rowOff>30000</xdr:rowOff>
    </xdr:to>
    <xdr:grpSp>
      <xdr:nvGrpSpPr>
        <xdr:cNvPr id="18" name="pieddereçu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1752600" y="3973286"/>
          <a:ext cx="3613725" cy="770228"/>
          <a:chOff x="1790701" y="5838824"/>
          <a:chExt cx="3657600" cy="962026"/>
        </a:xfrm>
      </xdr:grpSpPr>
      <xdr:sp macro="" textlink="">
        <xdr:nvSpPr>
          <xdr:cNvPr id="4" name="ZoneText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 txBox="1"/>
        </xdr:nvSpPr>
        <xdr:spPr>
          <a:xfrm>
            <a:off x="1790701" y="5838824"/>
            <a:ext cx="3657600" cy="4095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400" b="1"/>
              <a:t>Merci à</a:t>
            </a:r>
            <a:r>
              <a:rPr lang="fr-FR" sz="1400" b="1" baseline="0"/>
              <a:t> bientot!</a:t>
            </a:r>
            <a:endParaRPr lang="fr-FR" sz="1400" b="1"/>
          </a:p>
        </xdr:txBody>
      </xdr:sp>
      <xdr:sp macro="" textlink="$D$9">
        <xdr:nvSpPr>
          <xdr:cNvPr id="17" name="ZoneTexte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 txBox="1"/>
        </xdr:nvSpPr>
        <xdr:spPr>
          <a:xfrm>
            <a:off x="2209800" y="6324600"/>
            <a:ext cx="3162300" cy="476250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fld id="{730D3E06-3F41-497E-80D6-11FC6E21CA5E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100068</a:t>
            </a:fld>
            <a:endParaRPr lang="fr-FR" sz="1100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AB455"/>
  <sheetViews>
    <sheetView tabSelected="1" zoomScale="70" zoomScaleNormal="70" workbookViewId="0">
      <selection activeCell="L8" sqref="L8:P10"/>
    </sheetView>
  </sheetViews>
  <sheetFormatPr baseColWidth="10" defaultColWidth="11.44140625" defaultRowHeight="14.4" x14ac:dyDescent="0.3"/>
  <cols>
    <col min="1" max="1" width="14.109375" style="3" customWidth="1"/>
    <col min="2" max="2" width="11.44140625" style="2"/>
    <col min="3" max="3" width="21.33203125" style="4" customWidth="1"/>
    <col min="4" max="4" width="15.109375" style="4" customWidth="1"/>
    <col min="5" max="6" width="11.44140625" style="4"/>
    <col min="7" max="8" width="11.44140625" style="2"/>
    <col min="9" max="9" width="14.6640625" style="2" customWidth="1"/>
    <col min="10" max="10" width="22.88671875" style="2" customWidth="1"/>
    <col min="11" max="16384" width="11.44140625" style="2"/>
  </cols>
  <sheetData>
    <row r="1" spans="1:28" x14ac:dyDescent="0.3">
      <c r="AA1" s="10" t="s">
        <v>0</v>
      </c>
      <c r="AB1" s="11">
        <f>I17</f>
        <v>3750</v>
      </c>
    </row>
    <row r="2" spans="1:28" x14ac:dyDescent="0.3">
      <c r="AA2" s="10" t="s">
        <v>1</v>
      </c>
      <c r="AB2" s="11">
        <f>I19</f>
        <v>0</v>
      </c>
    </row>
    <row r="3" spans="1:28" x14ac:dyDescent="0.3">
      <c r="AA3" s="10" t="s">
        <v>2</v>
      </c>
      <c r="AB3" s="11">
        <f>I21</f>
        <v>3750</v>
      </c>
    </row>
    <row r="4" spans="1:28" x14ac:dyDescent="0.3">
      <c r="AA4" s="10" t="s">
        <v>3</v>
      </c>
      <c r="AB4" s="11">
        <v>4000</v>
      </c>
    </row>
    <row r="5" spans="1:28" x14ac:dyDescent="0.3">
      <c r="AA5" s="10" t="s">
        <v>4</v>
      </c>
      <c r="AB5" s="14">
        <f>I27</f>
        <v>250</v>
      </c>
    </row>
    <row r="6" spans="1:28" x14ac:dyDescent="0.3">
      <c r="A6" s="7" t="s">
        <v>5</v>
      </c>
    </row>
    <row r="7" spans="1:28" x14ac:dyDescent="0.3">
      <c r="A7" s="7" t="str">
        <f ca="1">IFERROR(MATCH(M12,NumArticle,0)+2,"")</f>
        <v/>
      </c>
      <c r="C7" s="17" t="s">
        <v>6</v>
      </c>
      <c r="D7" s="17"/>
      <c r="E7" s="17"/>
      <c r="F7" s="17"/>
    </row>
    <row r="8" spans="1:28" x14ac:dyDescent="0.3">
      <c r="C8" s="16">
        <v>213556501542</v>
      </c>
      <c r="D8" s="16"/>
      <c r="E8" s="16"/>
      <c r="F8" s="16"/>
      <c r="L8" s="15">
        <v>5</v>
      </c>
      <c r="M8" s="15"/>
      <c r="N8" s="15"/>
      <c r="O8" s="15"/>
      <c r="P8" s="15"/>
    </row>
    <row r="9" spans="1:28" x14ac:dyDescent="0.3">
      <c r="A9" s="7" t="s">
        <v>7</v>
      </c>
      <c r="C9" s="5" t="s">
        <v>8</v>
      </c>
      <c r="D9" s="21">
        <v>100068</v>
      </c>
      <c r="E9" s="21"/>
      <c r="F9" s="21"/>
      <c r="L9" s="15"/>
      <c r="M9" s="15"/>
      <c r="N9" s="15"/>
      <c r="O9" s="15"/>
      <c r="P9" s="15"/>
    </row>
    <row r="10" spans="1:28" x14ac:dyDescent="0.3">
      <c r="A10" s="7"/>
      <c r="C10" s="5" t="s">
        <v>9</v>
      </c>
      <c r="D10" s="19" t="s">
        <v>10</v>
      </c>
      <c r="E10" s="19"/>
      <c r="F10" s="19"/>
      <c r="L10" s="15"/>
      <c r="M10" s="15"/>
      <c r="N10" s="15"/>
      <c r="O10" s="15"/>
      <c r="P10" s="15"/>
    </row>
    <row r="11" spans="1:28" ht="15" customHeight="1" x14ac:dyDescent="0.3">
      <c r="C11" s="5" t="s">
        <v>11</v>
      </c>
      <c r="D11" s="20">
        <f ca="1">NOW()</f>
        <v>46027.896662615742</v>
      </c>
      <c r="E11" s="19"/>
      <c r="F11" s="19"/>
      <c r="H11" s="12" t="s">
        <v>12</v>
      </c>
      <c r="I11" s="4" t="s">
        <v>13</v>
      </c>
    </row>
    <row r="12" spans="1:28" ht="20.25" customHeight="1" x14ac:dyDescent="0.45">
      <c r="A12" s="7" t="s">
        <v>14</v>
      </c>
      <c r="M12" s="18"/>
      <c r="N12" s="18"/>
      <c r="O12" s="18"/>
    </row>
    <row r="13" spans="1:28" ht="15.75" customHeight="1" x14ac:dyDescent="0.3">
      <c r="A13" s="7">
        <f ca="1">IFERROR(MAX(Numreçu)+1,1000)</f>
        <v>100068</v>
      </c>
      <c r="C13" s="6" t="s">
        <v>15</v>
      </c>
      <c r="D13" s="6" t="s">
        <v>16</v>
      </c>
      <c r="E13" s="6" t="s">
        <v>17</v>
      </c>
      <c r="F13" s="6" t="s">
        <v>18</v>
      </c>
      <c r="H13" s="12" t="s">
        <v>19</v>
      </c>
      <c r="I13" s="4">
        <v>1500</v>
      </c>
      <c r="M13" s="8"/>
      <c r="N13" s="8"/>
      <c r="O13" s="8"/>
    </row>
    <row r="14" spans="1:28" x14ac:dyDescent="0.3">
      <c r="C14" s="4" t="s">
        <v>20</v>
      </c>
      <c r="D14" s="4">
        <v>1</v>
      </c>
      <c r="E14" s="9">
        <v>750</v>
      </c>
      <c r="F14" s="9">
        <f>D14*E14</f>
        <v>750</v>
      </c>
    </row>
    <row r="15" spans="1:28" x14ac:dyDescent="0.3">
      <c r="C15" s="4" t="s">
        <v>13</v>
      </c>
      <c r="D15" s="4">
        <v>2</v>
      </c>
      <c r="E15" s="9">
        <v>1500</v>
      </c>
      <c r="F15" s="9">
        <f>D15*E15</f>
        <v>3000</v>
      </c>
      <c r="H15" s="12" t="s">
        <v>21</v>
      </c>
      <c r="I15" s="4">
        <v>1</v>
      </c>
    </row>
    <row r="16" spans="1:28" x14ac:dyDescent="0.3">
      <c r="E16" s="9" t="s">
        <v>0</v>
      </c>
      <c r="F16" s="9">
        <v>3750</v>
      </c>
    </row>
    <row r="17" spans="5:14" x14ac:dyDescent="0.3">
      <c r="E17" s="9" t="s">
        <v>1</v>
      </c>
      <c r="F17" s="9">
        <v>0</v>
      </c>
      <c r="H17" s="12" t="s">
        <v>0</v>
      </c>
      <c r="I17" s="4">
        <f>SUMIF(C14:C120,"&lt;&gt;",F14:F120)</f>
        <v>3750</v>
      </c>
    </row>
    <row r="18" spans="5:14" x14ac:dyDescent="0.3">
      <c r="E18" s="9" t="s">
        <v>2</v>
      </c>
      <c r="F18" s="9">
        <v>3750</v>
      </c>
    </row>
    <row r="19" spans="5:14" x14ac:dyDescent="0.3">
      <c r="E19" s="9" t="s">
        <v>3</v>
      </c>
      <c r="F19" s="9">
        <v>4000</v>
      </c>
      <c r="H19" s="12" t="s">
        <v>1</v>
      </c>
      <c r="I19" s="4"/>
    </row>
    <row r="20" spans="5:14" x14ac:dyDescent="0.3">
      <c r="E20" s="9" t="s">
        <v>4</v>
      </c>
      <c r="F20" s="9">
        <v>250</v>
      </c>
    </row>
    <row r="21" spans="5:14" x14ac:dyDescent="0.3">
      <c r="E21" s="9"/>
      <c r="F21" s="9"/>
      <c r="H21" s="12" t="s">
        <v>22</v>
      </c>
      <c r="I21" s="4">
        <f>I17-I19</f>
        <v>3750</v>
      </c>
    </row>
    <row r="22" spans="5:14" x14ac:dyDescent="0.3">
      <c r="E22" s="9"/>
      <c r="F22" s="9"/>
    </row>
    <row r="23" spans="5:14" x14ac:dyDescent="0.3">
      <c r="E23" s="9"/>
      <c r="F23" s="9"/>
      <c r="H23" s="12" t="s">
        <v>23</v>
      </c>
      <c r="I23" s="4" t="s">
        <v>24</v>
      </c>
    </row>
    <row r="24" spans="5:14" x14ac:dyDescent="0.3">
      <c r="E24" s="9"/>
      <c r="F24" s="9"/>
    </row>
    <row r="25" spans="5:14" x14ac:dyDescent="0.3">
      <c r="E25" s="9"/>
      <c r="F25" s="9"/>
      <c r="H25" s="12" t="s">
        <v>25</v>
      </c>
      <c r="I25" s="4">
        <v>4000</v>
      </c>
    </row>
    <row r="26" spans="5:14" x14ac:dyDescent="0.3">
      <c r="E26" s="9"/>
      <c r="F26" s="9"/>
    </row>
    <row r="27" spans="5:14" x14ac:dyDescent="0.3">
      <c r="E27" s="9"/>
      <c r="F27" s="9"/>
      <c r="H27" s="12" t="s">
        <v>4</v>
      </c>
      <c r="I27" s="4">
        <f>I25-I21</f>
        <v>250</v>
      </c>
    </row>
    <row r="28" spans="5:14" x14ac:dyDescent="0.3">
      <c r="E28" s="9"/>
      <c r="F28" s="9"/>
    </row>
    <row r="29" spans="5:14" x14ac:dyDescent="0.3">
      <c r="E29" s="9"/>
      <c r="F29" s="9"/>
    </row>
    <row r="30" spans="5:14" x14ac:dyDescent="0.3">
      <c r="E30" s="9"/>
      <c r="F30" s="9"/>
    </row>
    <row r="31" spans="5:14" x14ac:dyDescent="0.3">
      <c r="E31" s="9"/>
      <c r="F31" s="9"/>
      <c r="N31" s="2">
        <v>1</v>
      </c>
    </row>
    <row r="32" spans="5:14" x14ac:dyDescent="0.3">
      <c r="E32" s="9"/>
      <c r="F32" s="9"/>
    </row>
    <row r="33" spans="5:6" x14ac:dyDescent="0.3">
      <c r="E33" s="9"/>
      <c r="F33" s="9"/>
    </row>
    <row r="34" spans="5:6" x14ac:dyDescent="0.3">
      <c r="E34" s="9"/>
      <c r="F34" s="9"/>
    </row>
    <row r="35" spans="5:6" x14ac:dyDescent="0.3">
      <c r="E35" s="9"/>
      <c r="F35" s="9"/>
    </row>
    <row r="36" spans="5:6" x14ac:dyDescent="0.3">
      <c r="E36" s="9"/>
      <c r="F36" s="9"/>
    </row>
    <row r="37" spans="5:6" x14ac:dyDescent="0.3">
      <c r="E37" s="9"/>
      <c r="F37" s="9"/>
    </row>
    <row r="38" spans="5:6" x14ac:dyDescent="0.3">
      <c r="E38" s="9"/>
      <c r="F38" s="9"/>
    </row>
    <row r="39" spans="5:6" x14ac:dyDescent="0.3">
      <c r="E39" s="9"/>
      <c r="F39" s="9"/>
    </row>
    <row r="40" spans="5:6" x14ac:dyDescent="0.3">
      <c r="E40" s="9"/>
      <c r="F40" s="9"/>
    </row>
    <row r="41" spans="5:6" x14ac:dyDescent="0.3">
      <c r="E41" s="9"/>
      <c r="F41" s="9"/>
    </row>
    <row r="42" spans="5:6" x14ac:dyDescent="0.3">
      <c r="E42" s="9"/>
      <c r="F42" s="9"/>
    </row>
    <row r="43" spans="5:6" x14ac:dyDescent="0.3">
      <c r="E43" s="9"/>
      <c r="F43" s="9"/>
    </row>
    <row r="44" spans="5:6" x14ac:dyDescent="0.3">
      <c r="E44" s="9"/>
      <c r="F44" s="9"/>
    </row>
    <row r="45" spans="5:6" x14ac:dyDescent="0.3">
      <c r="E45" s="9"/>
      <c r="F45" s="9"/>
    </row>
    <row r="46" spans="5:6" x14ac:dyDescent="0.3">
      <c r="E46" s="9"/>
      <c r="F46" s="9"/>
    </row>
    <row r="47" spans="5:6" x14ac:dyDescent="0.3">
      <c r="E47" s="9"/>
      <c r="F47" s="9"/>
    </row>
    <row r="48" spans="5:6" x14ac:dyDescent="0.3">
      <c r="E48" s="9"/>
      <c r="F48" s="9"/>
    </row>
    <row r="49" spans="5:6" x14ac:dyDescent="0.3">
      <c r="E49" s="9"/>
      <c r="F49" s="9"/>
    </row>
    <row r="50" spans="5:6" x14ac:dyDescent="0.3">
      <c r="E50" s="9"/>
      <c r="F50" s="9"/>
    </row>
    <row r="51" spans="5:6" x14ac:dyDescent="0.3">
      <c r="E51" s="9"/>
      <c r="F51" s="9"/>
    </row>
    <row r="52" spans="5:6" x14ac:dyDescent="0.3">
      <c r="E52" s="9"/>
      <c r="F52" s="9"/>
    </row>
    <row r="53" spans="5:6" x14ac:dyDescent="0.3">
      <c r="E53" s="9"/>
      <c r="F53" s="9"/>
    </row>
    <row r="54" spans="5:6" x14ac:dyDescent="0.3">
      <c r="E54" s="9"/>
      <c r="F54" s="9"/>
    </row>
    <row r="55" spans="5:6" x14ac:dyDescent="0.3">
      <c r="E55" s="9"/>
      <c r="F55" s="9"/>
    </row>
    <row r="56" spans="5:6" x14ac:dyDescent="0.3">
      <c r="E56" s="9"/>
      <c r="F56" s="9"/>
    </row>
    <row r="57" spans="5:6" x14ac:dyDescent="0.3">
      <c r="E57" s="9"/>
      <c r="F57" s="9"/>
    </row>
    <row r="58" spans="5:6" x14ac:dyDescent="0.3">
      <c r="E58" s="9"/>
      <c r="F58" s="9"/>
    </row>
    <row r="59" spans="5:6" x14ac:dyDescent="0.3">
      <c r="E59" s="9"/>
      <c r="F59" s="9"/>
    </row>
    <row r="60" spans="5:6" x14ac:dyDescent="0.3">
      <c r="E60" s="9"/>
      <c r="F60" s="9"/>
    </row>
    <row r="61" spans="5:6" x14ac:dyDescent="0.3">
      <c r="E61" s="9"/>
      <c r="F61" s="9"/>
    </row>
    <row r="62" spans="5:6" x14ac:dyDescent="0.3">
      <c r="E62" s="9"/>
      <c r="F62" s="9"/>
    </row>
    <row r="63" spans="5:6" x14ac:dyDescent="0.3">
      <c r="E63" s="9"/>
      <c r="F63" s="9"/>
    </row>
    <row r="64" spans="5:6" x14ac:dyDescent="0.3">
      <c r="E64" s="9"/>
      <c r="F64" s="9"/>
    </row>
    <row r="65" spans="5:6" x14ac:dyDescent="0.3">
      <c r="E65" s="9"/>
      <c r="F65" s="9"/>
    </row>
    <row r="66" spans="5:6" x14ac:dyDescent="0.3">
      <c r="E66" s="9"/>
      <c r="F66" s="9"/>
    </row>
    <row r="67" spans="5:6" x14ac:dyDescent="0.3">
      <c r="E67" s="9"/>
      <c r="F67" s="9"/>
    </row>
    <row r="68" spans="5:6" x14ac:dyDescent="0.3">
      <c r="E68" s="9"/>
      <c r="F68" s="9"/>
    </row>
    <row r="69" spans="5:6" x14ac:dyDescent="0.3">
      <c r="E69" s="9"/>
      <c r="F69" s="9"/>
    </row>
    <row r="70" spans="5:6" x14ac:dyDescent="0.3">
      <c r="E70" s="9"/>
      <c r="F70" s="9"/>
    </row>
    <row r="71" spans="5:6" x14ac:dyDescent="0.3">
      <c r="E71" s="9"/>
      <c r="F71" s="9"/>
    </row>
    <row r="72" spans="5:6" x14ac:dyDescent="0.3">
      <c r="E72" s="9"/>
      <c r="F72" s="9"/>
    </row>
    <row r="73" spans="5:6" x14ac:dyDescent="0.3">
      <c r="E73" s="9"/>
      <c r="F73" s="9"/>
    </row>
    <row r="74" spans="5:6" x14ac:dyDescent="0.3">
      <c r="E74" s="9"/>
      <c r="F74" s="9"/>
    </row>
    <row r="75" spans="5:6" x14ac:dyDescent="0.3">
      <c r="E75" s="9"/>
      <c r="F75" s="9"/>
    </row>
    <row r="76" spans="5:6" x14ac:dyDescent="0.3">
      <c r="E76" s="9"/>
      <c r="F76" s="9"/>
    </row>
    <row r="77" spans="5:6" x14ac:dyDescent="0.3">
      <c r="E77" s="9"/>
      <c r="F77" s="9"/>
    </row>
    <row r="78" spans="5:6" x14ac:dyDescent="0.3">
      <c r="E78" s="9"/>
      <c r="F78" s="9"/>
    </row>
    <row r="79" spans="5:6" x14ac:dyDescent="0.3">
      <c r="E79" s="9"/>
      <c r="F79" s="9"/>
    </row>
    <row r="80" spans="5:6" x14ac:dyDescent="0.3">
      <c r="E80" s="9"/>
      <c r="F80" s="9"/>
    </row>
    <row r="81" spans="5:6" x14ac:dyDescent="0.3">
      <c r="E81" s="9"/>
      <c r="F81" s="9"/>
    </row>
    <row r="82" spans="5:6" x14ac:dyDescent="0.3">
      <c r="E82" s="9"/>
      <c r="F82" s="9"/>
    </row>
    <row r="83" spans="5:6" x14ac:dyDescent="0.3">
      <c r="E83" s="9"/>
      <c r="F83" s="9"/>
    </row>
    <row r="84" spans="5:6" x14ac:dyDescent="0.3">
      <c r="E84" s="9"/>
      <c r="F84" s="9"/>
    </row>
    <row r="85" spans="5:6" x14ac:dyDescent="0.3">
      <c r="E85" s="9"/>
      <c r="F85" s="9"/>
    </row>
    <row r="86" spans="5:6" x14ac:dyDescent="0.3">
      <c r="E86" s="9"/>
      <c r="F86" s="9"/>
    </row>
    <row r="87" spans="5:6" x14ac:dyDescent="0.3">
      <c r="E87" s="9"/>
      <c r="F87" s="9"/>
    </row>
    <row r="88" spans="5:6" x14ac:dyDescent="0.3">
      <c r="E88" s="9"/>
      <c r="F88" s="9"/>
    </row>
    <row r="89" spans="5:6" x14ac:dyDescent="0.3">
      <c r="E89" s="9"/>
      <c r="F89" s="9"/>
    </row>
    <row r="90" spans="5:6" x14ac:dyDescent="0.3">
      <c r="E90" s="9"/>
      <c r="F90" s="9"/>
    </row>
    <row r="91" spans="5:6" x14ac:dyDescent="0.3">
      <c r="E91" s="9"/>
      <c r="F91" s="9"/>
    </row>
    <row r="92" spans="5:6" x14ac:dyDescent="0.3">
      <c r="E92" s="9"/>
      <c r="F92" s="9"/>
    </row>
    <row r="93" spans="5:6" x14ac:dyDescent="0.3">
      <c r="E93" s="9"/>
      <c r="F93" s="9"/>
    </row>
    <row r="94" spans="5:6" x14ac:dyDescent="0.3">
      <c r="E94" s="9"/>
      <c r="F94" s="9"/>
    </row>
    <row r="95" spans="5:6" x14ac:dyDescent="0.3">
      <c r="E95" s="9"/>
      <c r="F95" s="9"/>
    </row>
    <row r="96" spans="5:6" x14ac:dyDescent="0.3">
      <c r="E96" s="9"/>
      <c r="F96" s="9"/>
    </row>
    <row r="97" spans="5:6" x14ac:dyDescent="0.3">
      <c r="E97" s="9"/>
      <c r="F97" s="9"/>
    </row>
    <row r="98" spans="5:6" x14ac:dyDescent="0.3">
      <c r="E98" s="9"/>
      <c r="F98" s="9"/>
    </row>
    <row r="99" spans="5:6" x14ac:dyDescent="0.3">
      <c r="E99" s="9"/>
      <c r="F99" s="9"/>
    </row>
    <row r="100" spans="5:6" x14ac:dyDescent="0.3">
      <c r="E100" s="9"/>
      <c r="F100" s="9"/>
    </row>
    <row r="101" spans="5:6" x14ac:dyDescent="0.3">
      <c r="E101" s="9"/>
      <c r="F101" s="9"/>
    </row>
    <row r="102" spans="5:6" x14ac:dyDescent="0.3">
      <c r="E102" s="9"/>
      <c r="F102" s="9"/>
    </row>
    <row r="103" spans="5:6" x14ac:dyDescent="0.3">
      <c r="E103" s="9"/>
      <c r="F103" s="9"/>
    </row>
    <row r="104" spans="5:6" x14ac:dyDescent="0.3">
      <c r="E104" s="9"/>
      <c r="F104" s="9"/>
    </row>
    <row r="105" spans="5:6" x14ac:dyDescent="0.3">
      <c r="E105" s="9"/>
      <c r="F105" s="9"/>
    </row>
    <row r="106" spans="5:6" x14ac:dyDescent="0.3">
      <c r="E106" s="9"/>
      <c r="F106" s="9"/>
    </row>
    <row r="107" spans="5:6" x14ac:dyDescent="0.3">
      <c r="E107" s="9"/>
      <c r="F107" s="9"/>
    </row>
    <row r="108" spans="5:6" x14ac:dyDescent="0.3">
      <c r="E108" s="9"/>
      <c r="F108" s="9"/>
    </row>
    <row r="109" spans="5:6" x14ac:dyDescent="0.3">
      <c r="E109" s="9"/>
      <c r="F109" s="9"/>
    </row>
    <row r="110" spans="5:6" x14ac:dyDescent="0.3">
      <c r="E110" s="9"/>
      <c r="F110" s="9"/>
    </row>
    <row r="111" spans="5:6" x14ac:dyDescent="0.3">
      <c r="E111" s="9"/>
      <c r="F111" s="9"/>
    </row>
    <row r="112" spans="5:6" x14ac:dyDescent="0.3">
      <c r="E112" s="9"/>
      <c r="F112" s="9"/>
    </row>
    <row r="113" spans="5:6" x14ac:dyDescent="0.3">
      <c r="E113" s="9"/>
      <c r="F113" s="9"/>
    </row>
    <row r="114" spans="5:6" x14ac:dyDescent="0.3">
      <c r="E114" s="9"/>
      <c r="F114" s="9"/>
    </row>
    <row r="115" spans="5:6" x14ac:dyDescent="0.3">
      <c r="E115" s="9"/>
      <c r="F115" s="9"/>
    </row>
    <row r="116" spans="5:6" x14ac:dyDescent="0.3">
      <c r="E116" s="9"/>
      <c r="F116" s="9"/>
    </row>
    <row r="117" spans="5:6" x14ac:dyDescent="0.3">
      <c r="E117" s="9"/>
      <c r="F117" s="9"/>
    </row>
    <row r="118" spans="5:6" x14ac:dyDescent="0.3">
      <c r="E118" s="9"/>
      <c r="F118" s="9"/>
    </row>
    <row r="119" spans="5:6" x14ac:dyDescent="0.3">
      <c r="E119" s="9"/>
      <c r="F119" s="9"/>
    </row>
    <row r="120" spans="5:6" x14ac:dyDescent="0.3">
      <c r="E120" s="9"/>
      <c r="F120" s="9"/>
    </row>
    <row r="121" spans="5:6" x14ac:dyDescent="0.3">
      <c r="E121" s="9"/>
      <c r="F121" s="9"/>
    </row>
    <row r="122" spans="5:6" x14ac:dyDescent="0.3">
      <c r="E122" s="9"/>
      <c r="F122" s="9"/>
    </row>
    <row r="123" spans="5:6" x14ac:dyDescent="0.3">
      <c r="E123" s="9"/>
      <c r="F123" s="9"/>
    </row>
    <row r="124" spans="5:6" x14ac:dyDescent="0.3">
      <c r="E124" s="9"/>
      <c r="F124" s="9"/>
    </row>
    <row r="125" spans="5:6" x14ac:dyDescent="0.3">
      <c r="E125" s="9"/>
      <c r="F125" s="9"/>
    </row>
    <row r="126" spans="5:6" x14ac:dyDescent="0.3">
      <c r="E126" s="9"/>
      <c r="F126" s="9"/>
    </row>
    <row r="127" spans="5:6" x14ac:dyDescent="0.3">
      <c r="E127" s="9"/>
      <c r="F127" s="9"/>
    </row>
    <row r="128" spans="5:6" x14ac:dyDescent="0.3">
      <c r="E128" s="9"/>
      <c r="F128" s="9"/>
    </row>
    <row r="129" spans="5:6" x14ac:dyDescent="0.3">
      <c r="E129" s="9"/>
      <c r="F129" s="9"/>
    </row>
    <row r="130" spans="5:6" x14ac:dyDescent="0.3">
      <c r="E130" s="9"/>
      <c r="F130" s="9"/>
    </row>
    <row r="131" spans="5:6" x14ac:dyDescent="0.3">
      <c r="E131" s="9"/>
      <c r="F131" s="9"/>
    </row>
    <row r="132" spans="5:6" x14ac:dyDescent="0.3">
      <c r="E132" s="9"/>
      <c r="F132" s="9"/>
    </row>
    <row r="133" spans="5:6" x14ac:dyDescent="0.3">
      <c r="E133" s="9"/>
      <c r="F133" s="9"/>
    </row>
    <row r="134" spans="5:6" x14ac:dyDescent="0.3">
      <c r="E134" s="9"/>
      <c r="F134" s="9"/>
    </row>
    <row r="135" spans="5:6" x14ac:dyDescent="0.3">
      <c r="E135" s="9"/>
      <c r="F135" s="9"/>
    </row>
    <row r="136" spans="5:6" x14ac:dyDescent="0.3">
      <c r="E136" s="9"/>
      <c r="F136" s="9"/>
    </row>
    <row r="137" spans="5:6" x14ac:dyDescent="0.3">
      <c r="E137" s="9"/>
      <c r="F137" s="9"/>
    </row>
    <row r="138" spans="5:6" x14ac:dyDescent="0.3">
      <c r="E138" s="9"/>
      <c r="F138" s="9"/>
    </row>
    <row r="139" spans="5:6" x14ac:dyDescent="0.3">
      <c r="E139" s="9"/>
      <c r="F139" s="9"/>
    </row>
    <row r="140" spans="5:6" x14ac:dyDescent="0.3">
      <c r="E140" s="9"/>
      <c r="F140" s="9"/>
    </row>
    <row r="141" spans="5:6" x14ac:dyDescent="0.3">
      <c r="E141" s="9"/>
      <c r="F141" s="9"/>
    </row>
    <row r="142" spans="5:6" x14ac:dyDescent="0.3">
      <c r="E142" s="9"/>
      <c r="F142" s="9"/>
    </row>
    <row r="143" spans="5:6" x14ac:dyDescent="0.3">
      <c r="E143" s="9"/>
      <c r="F143" s="9"/>
    </row>
    <row r="144" spans="5:6" x14ac:dyDescent="0.3">
      <c r="E144" s="9"/>
      <c r="F144" s="9"/>
    </row>
    <row r="145" spans="5:6" x14ac:dyDescent="0.3">
      <c r="E145" s="9"/>
      <c r="F145" s="9"/>
    </row>
    <row r="146" spans="5:6" x14ac:dyDescent="0.3">
      <c r="E146" s="9"/>
      <c r="F146" s="9"/>
    </row>
    <row r="147" spans="5:6" x14ac:dyDescent="0.3">
      <c r="E147" s="9"/>
      <c r="F147" s="9"/>
    </row>
    <row r="148" spans="5:6" x14ac:dyDescent="0.3">
      <c r="E148" s="9"/>
      <c r="F148" s="9"/>
    </row>
    <row r="149" spans="5:6" x14ac:dyDescent="0.3">
      <c r="E149" s="9"/>
      <c r="F149" s="9"/>
    </row>
    <row r="150" spans="5:6" x14ac:dyDescent="0.3">
      <c r="E150" s="9"/>
      <c r="F150" s="9"/>
    </row>
    <row r="151" spans="5:6" x14ac:dyDescent="0.3">
      <c r="E151" s="9"/>
      <c r="F151" s="9"/>
    </row>
    <row r="152" spans="5:6" x14ac:dyDescent="0.3">
      <c r="E152" s="9"/>
      <c r="F152" s="9"/>
    </row>
    <row r="153" spans="5:6" x14ac:dyDescent="0.3">
      <c r="E153" s="9"/>
      <c r="F153" s="9"/>
    </row>
    <row r="154" spans="5:6" x14ac:dyDescent="0.3">
      <c r="E154" s="9"/>
      <c r="F154" s="9"/>
    </row>
    <row r="155" spans="5:6" x14ac:dyDescent="0.3">
      <c r="E155" s="9"/>
      <c r="F155" s="9"/>
    </row>
    <row r="156" spans="5:6" x14ac:dyDescent="0.3">
      <c r="E156" s="9"/>
      <c r="F156" s="9"/>
    </row>
    <row r="157" spans="5:6" x14ac:dyDescent="0.3">
      <c r="E157" s="9"/>
      <c r="F157" s="9"/>
    </row>
    <row r="158" spans="5:6" x14ac:dyDescent="0.3">
      <c r="E158" s="9"/>
      <c r="F158" s="9"/>
    </row>
    <row r="159" spans="5:6" x14ac:dyDescent="0.3">
      <c r="E159" s="9"/>
      <c r="F159" s="9"/>
    </row>
    <row r="160" spans="5:6" x14ac:dyDescent="0.3">
      <c r="E160" s="9"/>
      <c r="F160" s="9"/>
    </row>
    <row r="161" spans="5:6" x14ac:dyDescent="0.3">
      <c r="E161" s="9"/>
      <c r="F161" s="9"/>
    </row>
    <row r="162" spans="5:6" x14ac:dyDescent="0.3">
      <c r="E162" s="9"/>
      <c r="F162" s="9"/>
    </row>
    <row r="163" spans="5:6" x14ac:dyDescent="0.3">
      <c r="E163" s="9"/>
      <c r="F163" s="9"/>
    </row>
    <row r="164" spans="5:6" x14ac:dyDescent="0.3">
      <c r="E164" s="9"/>
      <c r="F164" s="9"/>
    </row>
    <row r="165" spans="5:6" x14ac:dyDescent="0.3">
      <c r="E165" s="9"/>
      <c r="F165" s="9"/>
    </row>
    <row r="166" spans="5:6" x14ac:dyDescent="0.3">
      <c r="E166" s="9"/>
      <c r="F166" s="9"/>
    </row>
    <row r="167" spans="5:6" x14ac:dyDescent="0.3">
      <c r="E167" s="9"/>
      <c r="F167" s="9"/>
    </row>
    <row r="168" spans="5:6" x14ac:dyDescent="0.3">
      <c r="E168" s="9"/>
      <c r="F168" s="9"/>
    </row>
    <row r="169" spans="5:6" x14ac:dyDescent="0.3">
      <c r="E169" s="9"/>
      <c r="F169" s="9"/>
    </row>
    <row r="170" spans="5:6" x14ac:dyDescent="0.3">
      <c r="E170" s="9"/>
      <c r="F170" s="9"/>
    </row>
    <row r="171" spans="5:6" x14ac:dyDescent="0.3">
      <c r="E171" s="9"/>
      <c r="F171" s="9"/>
    </row>
    <row r="172" spans="5:6" x14ac:dyDescent="0.3">
      <c r="E172" s="9"/>
      <c r="F172" s="9"/>
    </row>
    <row r="173" spans="5:6" x14ac:dyDescent="0.3">
      <c r="E173" s="9"/>
      <c r="F173" s="9"/>
    </row>
    <row r="174" spans="5:6" x14ac:dyDescent="0.3">
      <c r="E174" s="9"/>
      <c r="F174" s="9"/>
    </row>
    <row r="175" spans="5:6" x14ac:dyDescent="0.3">
      <c r="E175" s="9"/>
      <c r="F175" s="9"/>
    </row>
    <row r="176" spans="5:6" x14ac:dyDescent="0.3">
      <c r="E176" s="9"/>
      <c r="F176" s="9"/>
    </row>
    <row r="177" spans="5:6" x14ac:dyDescent="0.3">
      <c r="E177" s="9"/>
      <c r="F177" s="9"/>
    </row>
    <row r="178" spans="5:6" x14ac:dyDescent="0.3">
      <c r="E178" s="9"/>
      <c r="F178" s="9"/>
    </row>
    <row r="179" spans="5:6" x14ac:dyDescent="0.3">
      <c r="E179" s="9"/>
      <c r="F179" s="9"/>
    </row>
    <row r="180" spans="5:6" x14ac:dyDescent="0.3">
      <c r="E180" s="9"/>
      <c r="F180" s="9"/>
    </row>
    <row r="181" spans="5:6" x14ac:dyDescent="0.3">
      <c r="E181" s="9"/>
      <c r="F181" s="9"/>
    </row>
    <row r="182" spans="5:6" x14ac:dyDescent="0.3">
      <c r="E182" s="9"/>
      <c r="F182" s="9"/>
    </row>
    <row r="183" spans="5:6" x14ac:dyDescent="0.3">
      <c r="E183" s="9"/>
      <c r="F183" s="9"/>
    </row>
    <row r="184" spans="5:6" x14ac:dyDescent="0.3">
      <c r="E184" s="9"/>
      <c r="F184" s="9"/>
    </row>
    <row r="185" spans="5:6" x14ac:dyDescent="0.3">
      <c r="E185" s="9"/>
      <c r="F185" s="9"/>
    </row>
    <row r="186" spans="5:6" x14ac:dyDescent="0.3">
      <c r="E186" s="9"/>
      <c r="F186" s="9"/>
    </row>
    <row r="187" spans="5:6" x14ac:dyDescent="0.3">
      <c r="E187" s="9"/>
      <c r="F187" s="9"/>
    </row>
    <row r="188" spans="5:6" x14ac:dyDescent="0.3">
      <c r="E188" s="9"/>
      <c r="F188" s="9"/>
    </row>
    <row r="189" spans="5:6" x14ac:dyDescent="0.3">
      <c r="E189" s="9"/>
      <c r="F189" s="9"/>
    </row>
    <row r="190" spans="5:6" x14ac:dyDescent="0.3">
      <c r="E190" s="9"/>
      <c r="F190" s="9"/>
    </row>
    <row r="191" spans="5:6" x14ac:dyDescent="0.3">
      <c r="E191" s="9"/>
      <c r="F191" s="9"/>
    </row>
    <row r="192" spans="5:6" x14ac:dyDescent="0.3">
      <c r="E192" s="9"/>
      <c r="F192" s="9"/>
    </row>
    <row r="193" spans="5:6" x14ac:dyDescent="0.3">
      <c r="E193" s="9"/>
      <c r="F193" s="9"/>
    </row>
    <row r="194" spans="5:6" x14ac:dyDescent="0.3">
      <c r="E194" s="9"/>
      <c r="F194" s="9"/>
    </row>
    <row r="195" spans="5:6" x14ac:dyDescent="0.3">
      <c r="E195" s="9"/>
      <c r="F195" s="9"/>
    </row>
    <row r="196" spans="5:6" x14ac:dyDescent="0.3">
      <c r="E196" s="9"/>
      <c r="F196" s="9"/>
    </row>
    <row r="197" spans="5:6" x14ac:dyDescent="0.3">
      <c r="E197" s="9"/>
      <c r="F197" s="9"/>
    </row>
    <row r="198" spans="5:6" x14ac:dyDescent="0.3">
      <c r="E198" s="9"/>
      <c r="F198" s="9"/>
    </row>
    <row r="199" spans="5:6" x14ac:dyDescent="0.3">
      <c r="E199" s="9"/>
      <c r="F199" s="9"/>
    </row>
    <row r="200" spans="5:6" x14ac:dyDescent="0.3">
      <c r="E200" s="9"/>
      <c r="F200" s="9"/>
    </row>
    <row r="201" spans="5:6" x14ac:dyDescent="0.3">
      <c r="E201" s="9"/>
      <c r="F201" s="9"/>
    </row>
    <row r="202" spans="5:6" x14ac:dyDescent="0.3">
      <c r="E202" s="9"/>
      <c r="F202" s="9"/>
    </row>
    <row r="203" spans="5:6" x14ac:dyDescent="0.3">
      <c r="E203" s="9"/>
      <c r="F203" s="9"/>
    </row>
    <row r="204" spans="5:6" x14ac:dyDescent="0.3">
      <c r="E204" s="9"/>
      <c r="F204" s="9"/>
    </row>
    <row r="205" spans="5:6" x14ac:dyDescent="0.3">
      <c r="E205" s="9"/>
      <c r="F205" s="9"/>
    </row>
    <row r="206" spans="5:6" x14ac:dyDescent="0.3">
      <c r="E206" s="9"/>
      <c r="F206" s="9"/>
    </row>
    <row r="207" spans="5:6" x14ac:dyDescent="0.3">
      <c r="E207" s="9"/>
      <c r="F207" s="9"/>
    </row>
    <row r="208" spans="5:6" x14ac:dyDescent="0.3">
      <c r="E208" s="9"/>
      <c r="F208" s="9"/>
    </row>
    <row r="209" spans="5:6" x14ac:dyDescent="0.3">
      <c r="E209" s="9"/>
      <c r="F209" s="9"/>
    </row>
    <row r="210" spans="5:6" x14ac:dyDescent="0.3">
      <c r="E210" s="9"/>
      <c r="F210" s="9"/>
    </row>
    <row r="211" spans="5:6" x14ac:dyDescent="0.3">
      <c r="E211" s="9"/>
      <c r="F211" s="9"/>
    </row>
    <row r="212" spans="5:6" x14ac:dyDescent="0.3">
      <c r="E212" s="9"/>
      <c r="F212" s="9"/>
    </row>
    <row r="213" spans="5:6" x14ac:dyDescent="0.3">
      <c r="E213" s="9"/>
      <c r="F213" s="9"/>
    </row>
    <row r="214" spans="5:6" x14ac:dyDescent="0.3">
      <c r="E214" s="9"/>
      <c r="F214" s="9"/>
    </row>
    <row r="215" spans="5:6" x14ac:dyDescent="0.3">
      <c r="E215" s="9"/>
      <c r="F215" s="9"/>
    </row>
    <row r="216" spans="5:6" x14ac:dyDescent="0.3">
      <c r="E216" s="9"/>
      <c r="F216" s="9"/>
    </row>
    <row r="217" spans="5:6" x14ac:dyDescent="0.3">
      <c r="E217" s="9"/>
      <c r="F217" s="9"/>
    </row>
    <row r="218" spans="5:6" x14ac:dyDescent="0.3">
      <c r="E218" s="9"/>
      <c r="F218" s="9"/>
    </row>
    <row r="219" spans="5:6" x14ac:dyDescent="0.3">
      <c r="E219" s="9"/>
      <c r="F219" s="9"/>
    </row>
    <row r="220" spans="5:6" x14ac:dyDescent="0.3">
      <c r="E220" s="9"/>
      <c r="F220" s="9"/>
    </row>
    <row r="221" spans="5:6" x14ac:dyDescent="0.3">
      <c r="E221" s="9"/>
      <c r="F221" s="9"/>
    </row>
    <row r="222" spans="5:6" x14ac:dyDescent="0.3">
      <c r="E222" s="9"/>
      <c r="F222" s="9"/>
    </row>
    <row r="223" spans="5:6" x14ac:dyDescent="0.3">
      <c r="E223" s="9"/>
      <c r="F223" s="9"/>
    </row>
    <row r="224" spans="5:6" x14ac:dyDescent="0.3">
      <c r="E224" s="9"/>
      <c r="F224" s="9"/>
    </row>
    <row r="225" spans="5:6" x14ac:dyDescent="0.3">
      <c r="E225" s="9"/>
      <c r="F225" s="9"/>
    </row>
    <row r="226" spans="5:6" x14ac:dyDescent="0.3">
      <c r="E226" s="9"/>
      <c r="F226" s="9"/>
    </row>
    <row r="227" spans="5:6" x14ac:dyDescent="0.3">
      <c r="E227" s="9"/>
      <c r="F227" s="9"/>
    </row>
    <row r="228" spans="5:6" x14ac:dyDescent="0.3">
      <c r="E228" s="9"/>
      <c r="F228" s="9"/>
    </row>
    <row r="229" spans="5:6" x14ac:dyDescent="0.3">
      <c r="E229" s="9"/>
      <c r="F229" s="9"/>
    </row>
    <row r="230" spans="5:6" x14ac:dyDescent="0.3">
      <c r="E230" s="9"/>
      <c r="F230" s="9"/>
    </row>
    <row r="231" spans="5:6" x14ac:dyDescent="0.3">
      <c r="E231" s="9"/>
      <c r="F231" s="9"/>
    </row>
    <row r="232" spans="5:6" x14ac:dyDescent="0.3">
      <c r="E232" s="9"/>
      <c r="F232" s="9"/>
    </row>
    <row r="233" spans="5:6" x14ac:dyDescent="0.3">
      <c r="E233" s="9"/>
      <c r="F233" s="9"/>
    </row>
    <row r="234" spans="5:6" x14ac:dyDescent="0.3">
      <c r="E234" s="9"/>
      <c r="F234" s="9"/>
    </row>
    <row r="235" spans="5:6" x14ac:dyDescent="0.3">
      <c r="E235" s="9"/>
      <c r="F235" s="9"/>
    </row>
    <row r="236" spans="5:6" x14ac:dyDescent="0.3">
      <c r="E236" s="9"/>
      <c r="F236" s="9"/>
    </row>
    <row r="237" spans="5:6" x14ac:dyDescent="0.3">
      <c r="E237" s="9"/>
      <c r="F237" s="9"/>
    </row>
    <row r="238" spans="5:6" x14ac:dyDescent="0.3">
      <c r="E238" s="9"/>
      <c r="F238" s="9"/>
    </row>
    <row r="239" spans="5:6" x14ac:dyDescent="0.3">
      <c r="E239" s="9"/>
      <c r="F239" s="9"/>
    </row>
    <row r="240" spans="5:6" x14ac:dyDescent="0.3">
      <c r="E240" s="9"/>
      <c r="F240" s="9"/>
    </row>
    <row r="241" spans="5:6" x14ac:dyDescent="0.3">
      <c r="E241" s="9"/>
      <c r="F241" s="9"/>
    </row>
    <row r="242" spans="5:6" x14ac:dyDescent="0.3">
      <c r="E242" s="9"/>
      <c r="F242" s="9"/>
    </row>
    <row r="243" spans="5:6" x14ac:dyDescent="0.3">
      <c r="E243" s="9"/>
      <c r="F243" s="9"/>
    </row>
    <row r="244" spans="5:6" x14ac:dyDescent="0.3">
      <c r="E244" s="9"/>
      <c r="F244" s="9"/>
    </row>
    <row r="245" spans="5:6" x14ac:dyDescent="0.3">
      <c r="E245" s="9"/>
      <c r="F245" s="9"/>
    </row>
    <row r="246" spans="5:6" x14ac:dyDescent="0.3">
      <c r="E246" s="9"/>
      <c r="F246" s="9"/>
    </row>
    <row r="247" spans="5:6" x14ac:dyDescent="0.3">
      <c r="E247" s="9"/>
      <c r="F247" s="9"/>
    </row>
    <row r="248" spans="5:6" x14ac:dyDescent="0.3">
      <c r="E248" s="9"/>
      <c r="F248" s="9"/>
    </row>
    <row r="249" spans="5:6" x14ac:dyDescent="0.3">
      <c r="E249" s="9"/>
      <c r="F249" s="9"/>
    </row>
    <row r="250" spans="5:6" x14ac:dyDescent="0.3">
      <c r="E250" s="9"/>
      <c r="F250" s="9"/>
    </row>
    <row r="251" spans="5:6" x14ac:dyDescent="0.3">
      <c r="E251" s="9"/>
      <c r="F251" s="9"/>
    </row>
    <row r="252" spans="5:6" x14ac:dyDescent="0.3">
      <c r="E252" s="9"/>
      <c r="F252" s="9"/>
    </row>
    <row r="253" spans="5:6" x14ac:dyDescent="0.3">
      <c r="E253" s="9"/>
      <c r="F253" s="9"/>
    </row>
    <row r="254" spans="5:6" x14ac:dyDescent="0.3">
      <c r="E254" s="9"/>
      <c r="F254" s="9"/>
    </row>
    <row r="255" spans="5:6" x14ac:dyDescent="0.3">
      <c r="E255" s="9"/>
      <c r="F255" s="9"/>
    </row>
    <row r="256" spans="5:6" x14ac:dyDescent="0.3">
      <c r="E256" s="9"/>
      <c r="F256" s="9"/>
    </row>
    <row r="257" spans="5:6" x14ac:dyDescent="0.3">
      <c r="E257" s="9"/>
      <c r="F257" s="9"/>
    </row>
    <row r="258" spans="5:6" x14ac:dyDescent="0.3">
      <c r="E258" s="9"/>
      <c r="F258" s="9"/>
    </row>
    <row r="259" spans="5:6" x14ac:dyDescent="0.3">
      <c r="E259" s="9"/>
      <c r="F259" s="9"/>
    </row>
    <row r="260" spans="5:6" x14ac:dyDescent="0.3">
      <c r="E260" s="9"/>
      <c r="F260" s="9"/>
    </row>
    <row r="261" spans="5:6" x14ac:dyDescent="0.3">
      <c r="E261" s="9"/>
      <c r="F261" s="9"/>
    </row>
    <row r="262" spans="5:6" x14ac:dyDescent="0.3">
      <c r="E262" s="9"/>
      <c r="F262" s="9"/>
    </row>
    <row r="263" spans="5:6" x14ac:dyDescent="0.3">
      <c r="E263" s="9"/>
      <c r="F263" s="9"/>
    </row>
    <row r="264" spans="5:6" x14ac:dyDescent="0.3">
      <c r="E264" s="9"/>
      <c r="F264" s="9"/>
    </row>
    <row r="265" spans="5:6" x14ac:dyDescent="0.3">
      <c r="E265" s="9"/>
      <c r="F265" s="9"/>
    </row>
    <row r="266" spans="5:6" x14ac:dyDescent="0.3">
      <c r="E266" s="9"/>
      <c r="F266" s="9"/>
    </row>
    <row r="267" spans="5:6" x14ac:dyDescent="0.3">
      <c r="E267" s="9"/>
      <c r="F267" s="9"/>
    </row>
    <row r="268" spans="5:6" x14ac:dyDescent="0.3">
      <c r="E268" s="9"/>
      <c r="F268" s="9"/>
    </row>
    <row r="269" spans="5:6" x14ac:dyDescent="0.3">
      <c r="E269" s="9"/>
      <c r="F269" s="9"/>
    </row>
    <row r="270" spans="5:6" x14ac:dyDescent="0.3">
      <c r="E270" s="9"/>
      <c r="F270" s="9"/>
    </row>
    <row r="271" spans="5:6" x14ac:dyDescent="0.3">
      <c r="E271" s="9"/>
      <c r="F271" s="9"/>
    </row>
    <row r="272" spans="5:6" x14ac:dyDescent="0.3">
      <c r="E272" s="9"/>
      <c r="F272" s="9"/>
    </row>
    <row r="273" spans="5:6" x14ac:dyDescent="0.3">
      <c r="E273" s="9"/>
      <c r="F273" s="9"/>
    </row>
    <row r="274" spans="5:6" x14ac:dyDescent="0.3">
      <c r="E274" s="9"/>
      <c r="F274" s="9"/>
    </row>
    <row r="275" spans="5:6" x14ac:dyDescent="0.3">
      <c r="E275" s="9"/>
      <c r="F275" s="9"/>
    </row>
    <row r="276" spans="5:6" x14ac:dyDescent="0.3">
      <c r="E276" s="9"/>
      <c r="F276" s="9"/>
    </row>
    <row r="277" spans="5:6" x14ac:dyDescent="0.3">
      <c r="E277" s="9"/>
      <c r="F277" s="9"/>
    </row>
    <row r="278" spans="5:6" x14ac:dyDescent="0.3">
      <c r="E278" s="9"/>
      <c r="F278" s="9"/>
    </row>
    <row r="279" spans="5:6" x14ac:dyDescent="0.3">
      <c r="E279" s="9"/>
      <c r="F279" s="9"/>
    </row>
    <row r="280" spans="5:6" x14ac:dyDescent="0.3">
      <c r="E280" s="9"/>
      <c r="F280" s="9"/>
    </row>
    <row r="281" spans="5:6" x14ac:dyDescent="0.3">
      <c r="E281" s="9"/>
      <c r="F281" s="9"/>
    </row>
    <row r="282" spans="5:6" x14ac:dyDescent="0.3">
      <c r="E282" s="9"/>
      <c r="F282" s="9"/>
    </row>
    <row r="283" spans="5:6" x14ac:dyDescent="0.3">
      <c r="E283" s="9"/>
      <c r="F283" s="9"/>
    </row>
    <row r="284" spans="5:6" x14ac:dyDescent="0.3">
      <c r="E284" s="9"/>
      <c r="F284" s="9"/>
    </row>
    <row r="285" spans="5:6" x14ac:dyDescent="0.3">
      <c r="E285" s="9"/>
      <c r="F285" s="9"/>
    </row>
    <row r="286" spans="5:6" x14ac:dyDescent="0.3">
      <c r="E286" s="9"/>
      <c r="F286" s="9"/>
    </row>
    <row r="287" spans="5:6" x14ac:dyDescent="0.3">
      <c r="E287" s="9"/>
      <c r="F287" s="9"/>
    </row>
    <row r="288" spans="5:6" x14ac:dyDescent="0.3">
      <c r="E288" s="9"/>
      <c r="F288" s="9"/>
    </row>
    <row r="289" spans="5:6" x14ac:dyDescent="0.3">
      <c r="E289" s="9"/>
      <c r="F289" s="9"/>
    </row>
    <row r="290" spans="5:6" x14ac:dyDescent="0.3">
      <c r="E290" s="9"/>
      <c r="F290" s="9"/>
    </row>
    <row r="291" spans="5:6" x14ac:dyDescent="0.3">
      <c r="E291" s="9"/>
      <c r="F291" s="9"/>
    </row>
    <row r="292" spans="5:6" x14ac:dyDescent="0.3">
      <c r="E292" s="9"/>
      <c r="F292" s="9"/>
    </row>
    <row r="293" spans="5:6" x14ac:dyDescent="0.3">
      <c r="E293" s="9"/>
      <c r="F293" s="9"/>
    </row>
    <row r="294" spans="5:6" x14ac:dyDescent="0.3">
      <c r="E294" s="9"/>
      <c r="F294" s="9"/>
    </row>
    <row r="295" spans="5:6" x14ac:dyDescent="0.3">
      <c r="E295" s="9"/>
      <c r="F295" s="9"/>
    </row>
    <row r="296" spans="5:6" x14ac:dyDescent="0.3">
      <c r="E296" s="9"/>
      <c r="F296" s="9"/>
    </row>
    <row r="297" spans="5:6" x14ac:dyDescent="0.3">
      <c r="E297" s="9"/>
      <c r="F297" s="9"/>
    </row>
    <row r="298" spans="5:6" x14ac:dyDescent="0.3">
      <c r="E298" s="9"/>
      <c r="F298" s="9"/>
    </row>
    <row r="299" spans="5:6" x14ac:dyDescent="0.3">
      <c r="E299" s="9"/>
      <c r="F299" s="9"/>
    </row>
    <row r="300" spans="5:6" x14ac:dyDescent="0.3">
      <c r="E300" s="9"/>
      <c r="F300" s="9"/>
    </row>
    <row r="301" spans="5:6" x14ac:dyDescent="0.3">
      <c r="E301" s="9"/>
      <c r="F301" s="9"/>
    </row>
    <row r="302" spans="5:6" x14ac:dyDescent="0.3">
      <c r="E302" s="9"/>
      <c r="F302" s="9"/>
    </row>
    <row r="303" spans="5:6" x14ac:dyDescent="0.3">
      <c r="E303" s="9"/>
      <c r="F303" s="9"/>
    </row>
    <row r="304" spans="5:6" x14ac:dyDescent="0.3">
      <c r="E304" s="9"/>
      <c r="F304" s="9"/>
    </row>
    <row r="305" spans="5:6" x14ac:dyDescent="0.3">
      <c r="E305" s="9"/>
      <c r="F305" s="9"/>
    </row>
    <row r="306" spans="5:6" x14ac:dyDescent="0.3">
      <c r="E306" s="9"/>
      <c r="F306" s="9"/>
    </row>
    <row r="307" spans="5:6" x14ac:dyDescent="0.3">
      <c r="E307" s="9"/>
      <c r="F307" s="9"/>
    </row>
    <row r="308" spans="5:6" x14ac:dyDescent="0.3">
      <c r="E308" s="9"/>
      <c r="F308" s="9"/>
    </row>
    <row r="309" spans="5:6" x14ac:dyDescent="0.3">
      <c r="E309" s="9"/>
      <c r="F309" s="9"/>
    </row>
    <row r="310" spans="5:6" x14ac:dyDescent="0.3">
      <c r="E310" s="9"/>
      <c r="F310" s="9"/>
    </row>
    <row r="311" spans="5:6" x14ac:dyDescent="0.3">
      <c r="E311" s="9"/>
      <c r="F311" s="9"/>
    </row>
    <row r="312" spans="5:6" x14ac:dyDescent="0.3">
      <c r="E312" s="9"/>
      <c r="F312" s="9"/>
    </row>
    <row r="313" spans="5:6" x14ac:dyDescent="0.3">
      <c r="E313" s="9"/>
      <c r="F313" s="9"/>
    </row>
    <row r="314" spans="5:6" x14ac:dyDescent="0.3">
      <c r="E314" s="9"/>
      <c r="F314" s="9"/>
    </row>
    <row r="315" spans="5:6" x14ac:dyDescent="0.3">
      <c r="E315" s="9"/>
      <c r="F315" s="9"/>
    </row>
    <row r="316" spans="5:6" x14ac:dyDescent="0.3">
      <c r="E316" s="9"/>
      <c r="F316" s="9"/>
    </row>
    <row r="317" spans="5:6" x14ac:dyDescent="0.3">
      <c r="E317" s="9"/>
      <c r="F317" s="9"/>
    </row>
    <row r="318" spans="5:6" x14ac:dyDescent="0.3">
      <c r="E318" s="9"/>
      <c r="F318" s="9"/>
    </row>
    <row r="319" spans="5:6" x14ac:dyDescent="0.3">
      <c r="E319" s="9"/>
      <c r="F319" s="9"/>
    </row>
    <row r="320" spans="5:6" x14ac:dyDescent="0.3">
      <c r="E320" s="9"/>
      <c r="F320" s="9"/>
    </row>
    <row r="321" spans="5:6" x14ac:dyDescent="0.3">
      <c r="E321" s="9"/>
      <c r="F321" s="9"/>
    </row>
    <row r="322" spans="5:6" x14ac:dyDescent="0.3">
      <c r="E322" s="9"/>
      <c r="F322" s="9"/>
    </row>
    <row r="323" spans="5:6" x14ac:dyDescent="0.3">
      <c r="E323" s="9"/>
      <c r="F323" s="9"/>
    </row>
    <row r="324" spans="5:6" x14ac:dyDescent="0.3">
      <c r="E324" s="9"/>
      <c r="F324" s="9"/>
    </row>
    <row r="325" spans="5:6" x14ac:dyDescent="0.3">
      <c r="E325" s="9"/>
      <c r="F325" s="9"/>
    </row>
    <row r="326" spans="5:6" x14ac:dyDescent="0.3">
      <c r="E326" s="9"/>
      <c r="F326" s="9"/>
    </row>
    <row r="327" spans="5:6" x14ac:dyDescent="0.3">
      <c r="E327" s="9"/>
      <c r="F327" s="9"/>
    </row>
    <row r="328" spans="5:6" x14ac:dyDescent="0.3">
      <c r="E328" s="9"/>
      <c r="F328" s="9"/>
    </row>
    <row r="329" spans="5:6" x14ac:dyDescent="0.3">
      <c r="E329" s="9"/>
      <c r="F329" s="9"/>
    </row>
    <row r="330" spans="5:6" x14ac:dyDescent="0.3">
      <c r="E330" s="9"/>
      <c r="F330" s="9"/>
    </row>
    <row r="331" spans="5:6" x14ac:dyDescent="0.3">
      <c r="E331" s="9"/>
      <c r="F331" s="9"/>
    </row>
    <row r="332" spans="5:6" x14ac:dyDescent="0.3">
      <c r="E332" s="9"/>
      <c r="F332" s="9"/>
    </row>
    <row r="333" spans="5:6" x14ac:dyDescent="0.3">
      <c r="E333" s="9"/>
      <c r="F333" s="9"/>
    </row>
    <row r="334" spans="5:6" x14ac:dyDescent="0.3">
      <c r="E334" s="9"/>
      <c r="F334" s="9"/>
    </row>
    <row r="335" spans="5:6" x14ac:dyDescent="0.3">
      <c r="E335" s="9"/>
      <c r="F335" s="9"/>
    </row>
    <row r="336" spans="5:6" x14ac:dyDescent="0.3">
      <c r="E336" s="9"/>
      <c r="F336" s="9"/>
    </row>
    <row r="337" spans="5:6" x14ac:dyDescent="0.3">
      <c r="E337" s="9"/>
      <c r="F337" s="9"/>
    </row>
    <row r="338" spans="5:6" x14ac:dyDescent="0.3">
      <c r="E338" s="9"/>
      <c r="F338" s="9"/>
    </row>
    <row r="339" spans="5:6" x14ac:dyDescent="0.3">
      <c r="E339" s="9"/>
      <c r="F339" s="9"/>
    </row>
    <row r="340" spans="5:6" x14ac:dyDescent="0.3">
      <c r="E340" s="9"/>
      <c r="F340" s="9"/>
    </row>
    <row r="341" spans="5:6" x14ac:dyDescent="0.3">
      <c r="E341" s="9"/>
      <c r="F341" s="9"/>
    </row>
    <row r="342" spans="5:6" x14ac:dyDescent="0.3">
      <c r="E342" s="9"/>
      <c r="F342" s="9"/>
    </row>
    <row r="343" spans="5:6" x14ac:dyDescent="0.3">
      <c r="E343" s="9"/>
      <c r="F343" s="9"/>
    </row>
    <row r="344" spans="5:6" x14ac:dyDescent="0.3">
      <c r="E344" s="9"/>
      <c r="F344" s="9"/>
    </row>
    <row r="345" spans="5:6" x14ac:dyDescent="0.3">
      <c r="E345" s="9"/>
      <c r="F345" s="9"/>
    </row>
    <row r="346" spans="5:6" x14ac:dyDescent="0.3">
      <c r="E346" s="9"/>
      <c r="F346" s="9"/>
    </row>
    <row r="347" spans="5:6" x14ac:dyDescent="0.3">
      <c r="E347" s="9"/>
      <c r="F347" s="9"/>
    </row>
    <row r="348" spans="5:6" x14ac:dyDescent="0.3">
      <c r="E348" s="9"/>
      <c r="F348" s="9"/>
    </row>
    <row r="349" spans="5:6" x14ac:dyDescent="0.3">
      <c r="E349" s="9"/>
      <c r="F349" s="9"/>
    </row>
    <row r="350" spans="5:6" x14ac:dyDescent="0.3">
      <c r="E350" s="9"/>
      <c r="F350" s="9"/>
    </row>
    <row r="351" spans="5:6" x14ac:dyDescent="0.3">
      <c r="E351" s="9"/>
      <c r="F351" s="9"/>
    </row>
    <row r="352" spans="5:6" x14ac:dyDescent="0.3">
      <c r="E352" s="9"/>
      <c r="F352" s="9"/>
    </row>
    <row r="353" spans="5:6" x14ac:dyDescent="0.3">
      <c r="E353" s="9"/>
      <c r="F353" s="9"/>
    </row>
    <row r="354" spans="5:6" x14ac:dyDescent="0.3">
      <c r="E354" s="9"/>
      <c r="F354" s="9"/>
    </row>
    <row r="355" spans="5:6" x14ac:dyDescent="0.3">
      <c r="E355" s="9"/>
      <c r="F355" s="9"/>
    </row>
    <row r="356" spans="5:6" x14ac:dyDescent="0.3">
      <c r="E356" s="9"/>
      <c r="F356" s="9"/>
    </row>
    <row r="357" spans="5:6" x14ac:dyDescent="0.3">
      <c r="E357" s="9"/>
      <c r="F357" s="9"/>
    </row>
    <row r="358" spans="5:6" x14ac:dyDescent="0.3">
      <c r="E358" s="9"/>
      <c r="F358" s="9"/>
    </row>
    <row r="359" spans="5:6" x14ac:dyDescent="0.3">
      <c r="E359" s="9"/>
      <c r="F359" s="9"/>
    </row>
    <row r="360" spans="5:6" x14ac:dyDescent="0.3">
      <c r="E360" s="9"/>
      <c r="F360" s="9"/>
    </row>
    <row r="361" spans="5:6" x14ac:dyDescent="0.3">
      <c r="E361" s="9"/>
      <c r="F361" s="9"/>
    </row>
    <row r="362" spans="5:6" x14ac:dyDescent="0.3">
      <c r="E362" s="9"/>
      <c r="F362" s="9"/>
    </row>
    <row r="363" spans="5:6" x14ac:dyDescent="0.3">
      <c r="E363" s="9"/>
      <c r="F363" s="9"/>
    </row>
    <row r="364" spans="5:6" x14ac:dyDescent="0.3">
      <c r="E364" s="9"/>
      <c r="F364" s="9"/>
    </row>
    <row r="365" spans="5:6" x14ac:dyDescent="0.3">
      <c r="E365" s="9"/>
      <c r="F365" s="9"/>
    </row>
    <row r="366" spans="5:6" x14ac:dyDescent="0.3">
      <c r="E366" s="9"/>
      <c r="F366" s="9"/>
    </row>
    <row r="367" spans="5:6" x14ac:dyDescent="0.3">
      <c r="E367" s="9"/>
      <c r="F367" s="9"/>
    </row>
    <row r="368" spans="5:6" x14ac:dyDescent="0.3">
      <c r="E368" s="9"/>
      <c r="F368" s="9"/>
    </row>
    <row r="369" spans="5:6" x14ac:dyDescent="0.3">
      <c r="E369" s="9"/>
      <c r="F369" s="9"/>
    </row>
    <row r="370" spans="5:6" x14ac:dyDescent="0.3">
      <c r="E370" s="9"/>
      <c r="F370" s="9"/>
    </row>
    <row r="371" spans="5:6" x14ac:dyDescent="0.3">
      <c r="E371" s="9"/>
      <c r="F371" s="9"/>
    </row>
    <row r="372" spans="5:6" x14ac:dyDescent="0.3">
      <c r="E372" s="9"/>
      <c r="F372" s="9"/>
    </row>
    <row r="373" spans="5:6" x14ac:dyDescent="0.3">
      <c r="E373" s="9"/>
      <c r="F373" s="9"/>
    </row>
    <row r="374" spans="5:6" x14ac:dyDescent="0.3">
      <c r="E374" s="9"/>
      <c r="F374" s="9"/>
    </row>
    <row r="375" spans="5:6" x14ac:dyDescent="0.3">
      <c r="E375" s="9"/>
      <c r="F375" s="9"/>
    </row>
    <row r="376" spans="5:6" x14ac:dyDescent="0.3">
      <c r="E376" s="9"/>
      <c r="F376" s="9"/>
    </row>
    <row r="377" spans="5:6" x14ac:dyDescent="0.3">
      <c r="E377" s="9"/>
      <c r="F377" s="9"/>
    </row>
    <row r="378" spans="5:6" x14ac:dyDescent="0.3">
      <c r="E378" s="9"/>
      <c r="F378" s="9"/>
    </row>
    <row r="379" spans="5:6" x14ac:dyDescent="0.3">
      <c r="E379" s="9"/>
      <c r="F379" s="9"/>
    </row>
    <row r="380" spans="5:6" x14ac:dyDescent="0.3">
      <c r="E380" s="9"/>
      <c r="F380" s="9"/>
    </row>
    <row r="381" spans="5:6" x14ac:dyDescent="0.3">
      <c r="E381" s="9"/>
      <c r="F381" s="9"/>
    </row>
    <row r="382" spans="5:6" x14ac:dyDescent="0.3">
      <c r="E382" s="9"/>
      <c r="F382" s="9"/>
    </row>
    <row r="383" spans="5:6" x14ac:dyDescent="0.3">
      <c r="E383" s="9"/>
      <c r="F383" s="9"/>
    </row>
    <row r="384" spans="5:6" x14ac:dyDescent="0.3">
      <c r="E384" s="9"/>
      <c r="F384" s="9"/>
    </row>
    <row r="385" spans="5:6" x14ac:dyDescent="0.3">
      <c r="E385" s="9"/>
      <c r="F385" s="9"/>
    </row>
    <row r="386" spans="5:6" x14ac:dyDescent="0.3">
      <c r="E386" s="9"/>
      <c r="F386" s="9"/>
    </row>
    <row r="387" spans="5:6" x14ac:dyDescent="0.3">
      <c r="E387" s="9"/>
      <c r="F387" s="9"/>
    </row>
    <row r="388" spans="5:6" x14ac:dyDescent="0.3">
      <c r="E388" s="9"/>
      <c r="F388" s="9"/>
    </row>
    <row r="389" spans="5:6" x14ac:dyDescent="0.3">
      <c r="E389" s="9"/>
      <c r="F389" s="9"/>
    </row>
    <row r="390" spans="5:6" x14ac:dyDescent="0.3">
      <c r="E390" s="9"/>
      <c r="F390" s="9"/>
    </row>
    <row r="391" spans="5:6" x14ac:dyDescent="0.3">
      <c r="E391" s="9"/>
      <c r="F391" s="9"/>
    </row>
    <row r="392" spans="5:6" x14ac:dyDescent="0.3">
      <c r="E392" s="9"/>
      <c r="F392" s="9"/>
    </row>
    <row r="393" spans="5:6" x14ac:dyDescent="0.3">
      <c r="E393" s="9"/>
      <c r="F393" s="9"/>
    </row>
    <row r="394" spans="5:6" x14ac:dyDescent="0.3">
      <c r="E394" s="9"/>
      <c r="F394" s="9"/>
    </row>
    <row r="395" spans="5:6" x14ac:dyDescent="0.3">
      <c r="E395" s="9"/>
      <c r="F395" s="9"/>
    </row>
    <row r="396" spans="5:6" x14ac:dyDescent="0.3">
      <c r="E396" s="9"/>
      <c r="F396" s="9"/>
    </row>
    <row r="397" spans="5:6" x14ac:dyDescent="0.3">
      <c r="E397" s="9"/>
      <c r="F397" s="9"/>
    </row>
    <row r="398" spans="5:6" x14ac:dyDescent="0.3">
      <c r="E398" s="9"/>
      <c r="F398" s="9"/>
    </row>
    <row r="399" spans="5:6" x14ac:dyDescent="0.3">
      <c r="E399" s="9"/>
      <c r="F399" s="9"/>
    </row>
    <row r="400" spans="5:6" x14ac:dyDescent="0.3">
      <c r="E400" s="9"/>
      <c r="F400" s="9"/>
    </row>
    <row r="401" spans="5:6" x14ac:dyDescent="0.3">
      <c r="E401" s="9"/>
      <c r="F401" s="9"/>
    </row>
    <row r="402" spans="5:6" x14ac:dyDescent="0.3">
      <c r="E402" s="9"/>
      <c r="F402" s="9"/>
    </row>
    <row r="403" spans="5:6" x14ac:dyDescent="0.3">
      <c r="E403" s="9"/>
      <c r="F403" s="9"/>
    </row>
    <row r="404" spans="5:6" x14ac:dyDescent="0.3">
      <c r="E404" s="9"/>
      <c r="F404" s="9"/>
    </row>
    <row r="405" spans="5:6" x14ac:dyDescent="0.3">
      <c r="E405" s="9"/>
      <c r="F405" s="9"/>
    </row>
    <row r="406" spans="5:6" x14ac:dyDescent="0.3">
      <c r="E406" s="9"/>
      <c r="F406" s="9"/>
    </row>
    <row r="407" spans="5:6" x14ac:dyDescent="0.3">
      <c r="E407" s="9"/>
      <c r="F407" s="9"/>
    </row>
    <row r="408" spans="5:6" x14ac:dyDescent="0.3">
      <c r="E408" s="9"/>
      <c r="F408" s="9"/>
    </row>
    <row r="409" spans="5:6" x14ac:dyDescent="0.3">
      <c r="E409" s="9"/>
      <c r="F409" s="9"/>
    </row>
    <row r="410" spans="5:6" x14ac:dyDescent="0.3">
      <c r="E410" s="9"/>
      <c r="F410" s="9"/>
    </row>
    <row r="411" spans="5:6" x14ac:dyDescent="0.3">
      <c r="E411" s="9"/>
      <c r="F411" s="9"/>
    </row>
    <row r="412" spans="5:6" x14ac:dyDescent="0.3">
      <c r="E412" s="9"/>
      <c r="F412" s="9"/>
    </row>
    <row r="413" spans="5:6" x14ac:dyDescent="0.3">
      <c r="E413" s="9"/>
      <c r="F413" s="9"/>
    </row>
    <row r="414" spans="5:6" x14ac:dyDescent="0.3">
      <c r="E414" s="9"/>
      <c r="F414" s="9"/>
    </row>
    <row r="415" spans="5:6" x14ac:dyDescent="0.3">
      <c r="E415" s="9"/>
      <c r="F415" s="9"/>
    </row>
    <row r="416" spans="5:6" x14ac:dyDescent="0.3">
      <c r="E416" s="9"/>
      <c r="F416" s="9"/>
    </row>
    <row r="417" spans="5:6" x14ac:dyDescent="0.3">
      <c r="E417" s="9"/>
      <c r="F417" s="9"/>
    </row>
    <row r="418" spans="5:6" x14ac:dyDescent="0.3">
      <c r="E418" s="9"/>
      <c r="F418" s="9"/>
    </row>
    <row r="419" spans="5:6" x14ac:dyDescent="0.3">
      <c r="E419" s="9"/>
      <c r="F419" s="9"/>
    </row>
    <row r="420" spans="5:6" x14ac:dyDescent="0.3">
      <c r="E420" s="9"/>
      <c r="F420" s="9"/>
    </row>
    <row r="421" spans="5:6" x14ac:dyDescent="0.3">
      <c r="E421" s="9"/>
      <c r="F421" s="9"/>
    </row>
    <row r="422" spans="5:6" x14ac:dyDescent="0.3">
      <c r="E422" s="9"/>
      <c r="F422" s="9"/>
    </row>
    <row r="423" spans="5:6" x14ac:dyDescent="0.3">
      <c r="E423" s="9"/>
      <c r="F423" s="9"/>
    </row>
    <row r="424" spans="5:6" x14ac:dyDescent="0.3">
      <c r="E424" s="9"/>
      <c r="F424" s="9"/>
    </row>
    <row r="425" spans="5:6" x14ac:dyDescent="0.3">
      <c r="E425" s="9"/>
      <c r="F425" s="9"/>
    </row>
    <row r="426" spans="5:6" x14ac:dyDescent="0.3">
      <c r="E426" s="9"/>
      <c r="F426" s="9"/>
    </row>
    <row r="427" spans="5:6" x14ac:dyDescent="0.3">
      <c r="E427" s="9"/>
      <c r="F427" s="9"/>
    </row>
    <row r="428" spans="5:6" x14ac:dyDescent="0.3">
      <c r="E428" s="9"/>
      <c r="F428" s="9"/>
    </row>
    <row r="429" spans="5:6" x14ac:dyDescent="0.3">
      <c r="E429" s="9"/>
      <c r="F429" s="9"/>
    </row>
    <row r="430" spans="5:6" x14ac:dyDescent="0.3">
      <c r="E430" s="9"/>
      <c r="F430" s="9"/>
    </row>
    <row r="431" spans="5:6" x14ac:dyDescent="0.3">
      <c r="E431" s="9"/>
      <c r="F431" s="9"/>
    </row>
    <row r="432" spans="5:6" x14ac:dyDescent="0.3">
      <c r="E432" s="9"/>
      <c r="F432" s="9"/>
    </row>
    <row r="433" spans="5:6" x14ac:dyDescent="0.3">
      <c r="E433" s="9"/>
      <c r="F433" s="9"/>
    </row>
    <row r="434" spans="5:6" x14ac:dyDescent="0.3">
      <c r="E434" s="9"/>
      <c r="F434" s="9"/>
    </row>
    <row r="435" spans="5:6" x14ac:dyDescent="0.3">
      <c r="E435" s="9"/>
      <c r="F435" s="9"/>
    </row>
    <row r="436" spans="5:6" x14ac:dyDescent="0.3">
      <c r="E436" s="9"/>
      <c r="F436" s="9"/>
    </row>
    <row r="437" spans="5:6" x14ac:dyDescent="0.3">
      <c r="E437" s="9"/>
      <c r="F437" s="9"/>
    </row>
    <row r="438" spans="5:6" x14ac:dyDescent="0.3">
      <c r="E438" s="9"/>
      <c r="F438" s="9"/>
    </row>
    <row r="439" spans="5:6" x14ac:dyDescent="0.3">
      <c r="E439" s="9"/>
      <c r="F439" s="9"/>
    </row>
    <row r="440" spans="5:6" x14ac:dyDescent="0.3">
      <c r="E440" s="9"/>
      <c r="F440" s="9"/>
    </row>
    <row r="441" spans="5:6" x14ac:dyDescent="0.3">
      <c r="E441" s="9"/>
      <c r="F441" s="9"/>
    </row>
    <row r="442" spans="5:6" x14ac:dyDescent="0.3">
      <c r="E442" s="9"/>
      <c r="F442" s="9"/>
    </row>
    <row r="443" spans="5:6" x14ac:dyDescent="0.3">
      <c r="E443" s="9"/>
      <c r="F443" s="9"/>
    </row>
    <row r="444" spans="5:6" x14ac:dyDescent="0.3">
      <c r="E444" s="9"/>
      <c r="F444" s="9"/>
    </row>
    <row r="445" spans="5:6" x14ac:dyDescent="0.3">
      <c r="E445" s="9"/>
      <c r="F445" s="9"/>
    </row>
    <row r="446" spans="5:6" x14ac:dyDescent="0.3">
      <c r="E446" s="9"/>
      <c r="F446" s="9"/>
    </row>
    <row r="447" spans="5:6" x14ac:dyDescent="0.3">
      <c r="E447" s="9"/>
      <c r="F447" s="9"/>
    </row>
    <row r="448" spans="5:6" x14ac:dyDescent="0.3">
      <c r="E448" s="9"/>
      <c r="F448" s="9"/>
    </row>
    <row r="449" spans="5:6" x14ac:dyDescent="0.3">
      <c r="E449" s="9"/>
      <c r="F449" s="9"/>
    </row>
    <row r="450" spans="5:6" x14ac:dyDescent="0.3">
      <c r="E450" s="9"/>
      <c r="F450" s="9"/>
    </row>
    <row r="451" spans="5:6" x14ac:dyDescent="0.3">
      <c r="E451" s="9"/>
      <c r="F451" s="9"/>
    </row>
    <row r="452" spans="5:6" x14ac:dyDescent="0.3">
      <c r="E452" s="9"/>
      <c r="F452" s="9"/>
    </row>
    <row r="453" spans="5:6" x14ac:dyDescent="0.3">
      <c r="E453" s="9"/>
      <c r="F453" s="9"/>
    </row>
    <row r="454" spans="5:6" x14ac:dyDescent="0.3">
      <c r="E454" s="9"/>
      <c r="F454" s="9"/>
    </row>
    <row r="455" spans="5:6" x14ac:dyDescent="0.3">
      <c r="E455" s="9"/>
      <c r="F455" s="9"/>
    </row>
  </sheetData>
  <mergeCells count="7">
    <mergeCell ref="L8:P10"/>
    <mergeCell ref="C8:F8"/>
    <mergeCell ref="C7:F7"/>
    <mergeCell ref="M12:O12"/>
    <mergeCell ref="D10:F10"/>
    <mergeCell ref="D11:F11"/>
    <mergeCell ref="D9:F9"/>
  </mergeCells>
  <conditionalFormatting sqref="C14:F1048576">
    <cfRule type="expression" dxfId="3" priority="2">
      <formula>$E14="Rendu:"</formula>
    </cfRule>
    <cfRule type="expression" dxfId="2" priority="3">
      <formula>$E14="Net à payer:"</formula>
    </cfRule>
    <cfRule type="expression" dxfId="1" priority="4">
      <formula>$E14="total:"</formula>
    </cfRule>
  </conditionalFormatting>
  <conditionalFormatting sqref="C14:F120">
    <cfRule type="expression" dxfId="0" priority="1">
      <formula>$A$10=ROW()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10"/>
  <sheetViews>
    <sheetView workbookViewId="0">
      <selection activeCell="B6" sqref="B6"/>
    </sheetView>
  </sheetViews>
  <sheetFormatPr baseColWidth="10" defaultColWidth="11.44140625" defaultRowHeight="14.4" x14ac:dyDescent="0.3"/>
  <sheetData>
    <row r="1" spans="1:3" x14ac:dyDescent="0.3">
      <c r="A1" s="22" t="s">
        <v>26</v>
      </c>
      <c r="B1" s="22"/>
      <c r="C1" s="22"/>
    </row>
    <row r="2" spans="1:3" x14ac:dyDescent="0.3">
      <c r="A2" s="1" t="s">
        <v>27</v>
      </c>
      <c r="B2" s="1" t="s">
        <v>28</v>
      </c>
      <c r="C2" s="1" t="s">
        <v>29</v>
      </c>
    </row>
    <row r="3" spans="1:3" x14ac:dyDescent="0.3">
      <c r="A3" s="1">
        <v>10001</v>
      </c>
      <c r="B3" s="1" t="s">
        <v>30</v>
      </c>
      <c r="C3" s="1">
        <v>600</v>
      </c>
    </row>
    <row r="4" spans="1:3" x14ac:dyDescent="0.3">
      <c r="A4" s="1">
        <v>10002</v>
      </c>
      <c r="B4" s="1" t="s">
        <v>31</v>
      </c>
      <c r="C4" s="1">
        <v>200</v>
      </c>
    </row>
    <row r="5" spans="1:3" x14ac:dyDescent="0.3">
      <c r="A5" s="1">
        <v>10003</v>
      </c>
      <c r="B5" s="1" t="s">
        <v>32</v>
      </c>
      <c r="C5" s="1">
        <v>300</v>
      </c>
    </row>
    <row r="6" spans="1:3" x14ac:dyDescent="0.3">
      <c r="A6" s="1">
        <v>10004</v>
      </c>
      <c r="B6" s="1" t="s">
        <v>33</v>
      </c>
      <c r="C6" s="1">
        <v>250</v>
      </c>
    </row>
    <row r="7" spans="1:3" x14ac:dyDescent="0.3">
      <c r="A7" s="1">
        <v>10005</v>
      </c>
      <c r="B7" s="1" t="s">
        <v>20</v>
      </c>
      <c r="C7" s="1">
        <v>750</v>
      </c>
    </row>
    <row r="8" spans="1:3" x14ac:dyDescent="0.3">
      <c r="A8" s="1">
        <v>10006</v>
      </c>
      <c r="B8" s="1" t="s">
        <v>34</v>
      </c>
      <c r="C8" s="1">
        <v>550</v>
      </c>
    </row>
    <row r="9" spans="1:3" x14ac:dyDescent="0.3">
      <c r="A9" s="1">
        <v>10007</v>
      </c>
      <c r="B9" s="1" t="s">
        <v>13</v>
      </c>
      <c r="C9" s="1">
        <v>1500</v>
      </c>
    </row>
    <row r="10" spans="1:3" x14ac:dyDescent="0.3">
      <c r="A10" s="1">
        <v>10008</v>
      </c>
      <c r="B10" s="1" t="s">
        <v>35</v>
      </c>
      <c r="C10" s="1">
        <v>800</v>
      </c>
    </row>
  </sheetData>
  <mergeCells count="1">
    <mergeCell ref="A1:C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G23"/>
  <sheetViews>
    <sheetView workbookViewId="0">
      <selection activeCell="D2" sqref="D2"/>
    </sheetView>
  </sheetViews>
  <sheetFormatPr baseColWidth="10" defaultColWidth="11.44140625" defaultRowHeight="14.4" x14ac:dyDescent="0.3"/>
  <sheetData>
    <row r="1" spans="1:7" x14ac:dyDescent="0.3">
      <c r="A1" s="23" t="s">
        <v>36</v>
      </c>
      <c r="B1" s="23"/>
      <c r="C1" s="23"/>
      <c r="D1" s="23"/>
      <c r="E1" s="23"/>
      <c r="F1" s="23"/>
      <c r="G1" s="23"/>
    </row>
    <row r="2" spans="1:7" x14ac:dyDescent="0.3">
      <c r="A2">
        <v>100056</v>
      </c>
      <c r="B2" s="13">
        <v>44934.576863425929</v>
      </c>
      <c r="C2" t="s">
        <v>10</v>
      </c>
      <c r="D2" t="s">
        <v>15</v>
      </c>
      <c r="E2" t="s">
        <v>16</v>
      </c>
      <c r="F2" t="s">
        <v>17</v>
      </c>
      <c r="G2" t="s">
        <v>18</v>
      </c>
    </row>
    <row r="3" spans="1:7" x14ac:dyDescent="0.3">
      <c r="A3">
        <v>100057</v>
      </c>
      <c r="B3" s="13">
        <v>44934.577407407407</v>
      </c>
      <c r="C3" t="s">
        <v>10</v>
      </c>
      <c r="D3" t="s">
        <v>15</v>
      </c>
      <c r="E3" t="s">
        <v>16</v>
      </c>
      <c r="F3" t="s">
        <v>17</v>
      </c>
      <c r="G3" t="s">
        <v>18</v>
      </c>
    </row>
    <row r="4" spans="1:7" x14ac:dyDescent="0.3">
      <c r="A4">
        <v>100057</v>
      </c>
      <c r="B4" s="13">
        <v>44934.577407407407</v>
      </c>
      <c r="C4" t="s">
        <v>10</v>
      </c>
    </row>
    <row r="5" spans="1:7" x14ac:dyDescent="0.3">
      <c r="A5">
        <v>100058</v>
      </c>
      <c r="B5" s="13">
        <v>44934.584467592591</v>
      </c>
      <c r="C5" t="s">
        <v>10</v>
      </c>
      <c r="D5" t="s">
        <v>20</v>
      </c>
      <c r="E5">
        <v>2</v>
      </c>
      <c r="F5">
        <v>750</v>
      </c>
      <c r="G5">
        <v>1500</v>
      </c>
    </row>
    <row r="6" spans="1:7" x14ac:dyDescent="0.3">
      <c r="A6">
        <v>100058</v>
      </c>
      <c r="B6" s="13">
        <v>44934.584467592591</v>
      </c>
      <c r="C6" t="s">
        <v>10</v>
      </c>
      <c r="D6" t="s">
        <v>31</v>
      </c>
      <c r="E6">
        <v>1</v>
      </c>
      <c r="F6">
        <v>200</v>
      </c>
      <c r="G6">
        <v>200</v>
      </c>
    </row>
    <row r="7" spans="1:7" x14ac:dyDescent="0.3">
      <c r="A7">
        <v>100058</v>
      </c>
      <c r="B7" s="13">
        <v>44934.584467592591</v>
      </c>
      <c r="C7" t="s">
        <v>10</v>
      </c>
      <c r="D7" t="s">
        <v>34</v>
      </c>
      <c r="E7">
        <v>6</v>
      </c>
      <c r="F7">
        <v>550</v>
      </c>
      <c r="G7">
        <v>3300</v>
      </c>
    </row>
    <row r="8" spans="1:7" x14ac:dyDescent="0.3">
      <c r="A8">
        <v>100058</v>
      </c>
      <c r="B8" s="13">
        <v>44934.584467592591</v>
      </c>
      <c r="C8" t="s">
        <v>10</v>
      </c>
      <c r="D8" t="s">
        <v>20</v>
      </c>
      <c r="E8">
        <v>1</v>
      </c>
      <c r="F8">
        <v>750</v>
      </c>
      <c r="G8">
        <v>750</v>
      </c>
    </row>
    <row r="9" spans="1:7" x14ac:dyDescent="0.3">
      <c r="A9">
        <v>100059</v>
      </c>
      <c r="B9" s="13">
        <v>44934.642361111109</v>
      </c>
      <c r="C9" t="s">
        <v>10</v>
      </c>
      <c r="D9" t="s">
        <v>35</v>
      </c>
      <c r="E9">
        <v>12</v>
      </c>
      <c r="F9">
        <v>800</v>
      </c>
      <c r="G9">
        <v>9600</v>
      </c>
    </row>
    <row r="10" spans="1:7" x14ac:dyDescent="0.3">
      <c r="A10">
        <v>100059</v>
      </c>
      <c r="B10" s="13">
        <v>44934.642361111109</v>
      </c>
      <c r="C10" t="s">
        <v>10</v>
      </c>
      <c r="D10" t="s">
        <v>33</v>
      </c>
      <c r="E10">
        <v>6</v>
      </c>
      <c r="F10">
        <v>250</v>
      </c>
      <c r="G10">
        <v>1500</v>
      </c>
    </row>
    <row r="11" spans="1:7" x14ac:dyDescent="0.3">
      <c r="A11">
        <v>100059</v>
      </c>
      <c r="B11" s="13">
        <v>44934.642361111109</v>
      </c>
      <c r="C11" t="s">
        <v>10</v>
      </c>
      <c r="D11" t="s">
        <v>20</v>
      </c>
      <c r="E11">
        <v>17</v>
      </c>
      <c r="F11">
        <v>750</v>
      </c>
      <c r="G11">
        <v>12750</v>
      </c>
    </row>
    <row r="12" spans="1:7" x14ac:dyDescent="0.3">
      <c r="A12">
        <v>100059</v>
      </c>
      <c r="B12" s="13">
        <v>44934.642361111109</v>
      </c>
      <c r="C12" t="s">
        <v>10</v>
      </c>
      <c r="D12" t="s">
        <v>20</v>
      </c>
      <c r="E12">
        <v>1</v>
      </c>
      <c r="F12">
        <v>750</v>
      </c>
      <c r="G12">
        <v>750</v>
      </c>
    </row>
    <row r="13" spans="1:7" x14ac:dyDescent="0.3">
      <c r="A13">
        <v>100060</v>
      </c>
      <c r="B13" s="13">
        <v>44934.643113425926</v>
      </c>
      <c r="C13" t="s">
        <v>10</v>
      </c>
      <c r="D13" t="s">
        <v>20</v>
      </c>
      <c r="E13">
        <v>1</v>
      </c>
      <c r="F13">
        <v>750</v>
      </c>
      <c r="G13">
        <v>750</v>
      </c>
    </row>
    <row r="14" spans="1:7" x14ac:dyDescent="0.3">
      <c r="A14">
        <v>100061</v>
      </c>
      <c r="B14" s="13">
        <v>44934.646122685182</v>
      </c>
      <c r="C14" t="s">
        <v>10</v>
      </c>
      <c r="D14" t="s">
        <v>13</v>
      </c>
      <c r="E14">
        <v>1</v>
      </c>
      <c r="F14">
        <v>1500</v>
      </c>
      <c r="G14">
        <v>1500</v>
      </c>
    </row>
    <row r="15" spans="1:7" x14ac:dyDescent="0.3">
      <c r="A15">
        <v>100062</v>
      </c>
      <c r="B15" s="13">
        <v>44934.652650462966</v>
      </c>
      <c r="C15" t="s">
        <v>10</v>
      </c>
      <c r="D15" t="s">
        <v>33</v>
      </c>
      <c r="E15">
        <v>1</v>
      </c>
      <c r="F15">
        <v>250</v>
      </c>
      <c r="G15">
        <v>250</v>
      </c>
    </row>
    <row r="16" spans="1:7" x14ac:dyDescent="0.3">
      <c r="A16">
        <v>100063</v>
      </c>
      <c r="B16" s="13">
        <v>44934.653483796297</v>
      </c>
      <c r="C16" t="s">
        <v>10</v>
      </c>
      <c r="D16" t="s">
        <v>35</v>
      </c>
      <c r="E16">
        <v>1</v>
      </c>
      <c r="F16">
        <v>800</v>
      </c>
      <c r="G16">
        <v>800</v>
      </c>
    </row>
    <row r="17" spans="1:7" x14ac:dyDescent="0.3">
      <c r="A17">
        <v>100063</v>
      </c>
      <c r="B17" s="13">
        <v>44934.653483796297</v>
      </c>
      <c r="C17" t="s">
        <v>10</v>
      </c>
      <c r="D17" t="s">
        <v>13</v>
      </c>
      <c r="E17">
        <v>1</v>
      </c>
      <c r="F17">
        <v>1500</v>
      </c>
      <c r="G17">
        <v>1500</v>
      </c>
    </row>
    <row r="18" spans="1:7" x14ac:dyDescent="0.3">
      <c r="A18">
        <v>100064</v>
      </c>
      <c r="B18" s="13">
        <v>44934.760625000003</v>
      </c>
      <c r="C18" t="s">
        <v>10</v>
      </c>
      <c r="D18" t="s">
        <v>33</v>
      </c>
      <c r="E18">
        <v>1</v>
      </c>
      <c r="F18">
        <v>250</v>
      </c>
      <c r="G18">
        <v>250</v>
      </c>
    </row>
    <row r="19" spans="1:7" x14ac:dyDescent="0.3">
      <c r="A19">
        <v>100065</v>
      </c>
      <c r="B19" s="13">
        <v>44935.292638888888</v>
      </c>
      <c r="C19" t="s">
        <v>10</v>
      </c>
      <c r="D19" t="s">
        <v>20</v>
      </c>
      <c r="E19">
        <v>1</v>
      </c>
      <c r="F19">
        <v>750</v>
      </c>
      <c r="G19">
        <v>750</v>
      </c>
    </row>
    <row r="20" spans="1:7" x14ac:dyDescent="0.3">
      <c r="A20">
        <v>100065</v>
      </c>
      <c r="B20" s="13">
        <v>44935.292638888888</v>
      </c>
      <c r="C20" t="s">
        <v>10</v>
      </c>
      <c r="D20" t="s">
        <v>35</v>
      </c>
      <c r="E20">
        <v>1</v>
      </c>
      <c r="F20">
        <v>800</v>
      </c>
      <c r="G20">
        <v>800</v>
      </c>
    </row>
    <row r="21" spans="1:7" x14ac:dyDescent="0.3">
      <c r="A21">
        <v>100066</v>
      </c>
      <c r="B21" s="13">
        <v>44935.296168981484</v>
      </c>
      <c r="C21" t="s">
        <v>10</v>
      </c>
      <c r="D21" t="s">
        <v>20</v>
      </c>
      <c r="E21">
        <v>1</v>
      </c>
      <c r="F21">
        <v>750</v>
      </c>
      <c r="G21">
        <v>750</v>
      </c>
    </row>
    <row r="22" spans="1:7" x14ac:dyDescent="0.3">
      <c r="A22">
        <v>100067</v>
      </c>
      <c r="B22" s="13">
        <v>44935.301203703704</v>
      </c>
      <c r="C22" t="s">
        <v>10</v>
      </c>
      <c r="D22" t="s">
        <v>20</v>
      </c>
      <c r="E22">
        <v>1</v>
      </c>
      <c r="F22">
        <v>750</v>
      </c>
      <c r="G22">
        <v>750</v>
      </c>
    </row>
    <row r="23" spans="1:7" x14ac:dyDescent="0.3">
      <c r="A23">
        <v>100067</v>
      </c>
      <c r="B23" s="13">
        <v>44935.301203703704</v>
      </c>
      <c r="C23" t="s">
        <v>10</v>
      </c>
      <c r="D23" t="s">
        <v>30</v>
      </c>
      <c r="E23">
        <v>1</v>
      </c>
      <c r="F23">
        <v>600</v>
      </c>
      <c r="G23">
        <v>600</v>
      </c>
    </row>
  </sheetData>
  <mergeCells count="1">
    <mergeCell ref="A1:G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2</vt:i4>
      </vt:variant>
    </vt:vector>
  </HeadingPairs>
  <TitlesOfParts>
    <vt:vector size="5" baseType="lpstr">
      <vt:lpstr>gestion de caisse</vt:lpstr>
      <vt:lpstr>BDArticles</vt:lpstr>
      <vt:lpstr>Ventes</vt:lpstr>
      <vt:lpstr>pieddereçu2</vt:lpstr>
      <vt:lpstr>'gestion de caisse'!Zone_d_impression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hp</dc:creator>
  <cp:keywords/>
  <dc:description/>
  <cp:lastModifiedBy>Junior serge</cp:lastModifiedBy>
  <cp:revision/>
  <dcterms:created xsi:type="dcterms:W3CDTF">2023-01-07T06:21:13Z</dcterms:created>
  <dcterms:modified xsi:type="dcterms:W3CDTF">2026-01-05T20:32:24Z</dcterms:modified>
  <cp:category/>
  <cp:contentStatus/>
</cp:coreProperties>
</file>